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6f1c30c24f8939f/Attachments/Documents/"/>
    </mc:Choice>
  </mc:AlternateContent>
  <xr:revisionPtr revIDLastSave="0" documentId="8_{575D6EBA-B950-48DC-ADFB-7BE65A0ACBDF}" xr6:coauthVersionLast="47" xr6:coauthVersionMax="47" xr10:uidLastSave="{00000000-0000-0000-0000-000000000000}"/>
  <bookViews>
    <workbookView xWindow="-110" yWindow="-110" windowWidth="19420" windowHeight="10300" xr2:uid="{5E2B44FC-4D16-464C-AA7B-871E73E668F8}"/>
  </bookViews>
  <sheets>
    <sheet name="Dashboard" sheetId="4" r:id="rId1"/>
    <sheet name="Sales" sheetId="1" r:id="rId2"/>
    <sheet name="Customer" sheetId="2" r:id="rId3"/>
    <sheet name="Products" sheetId="3" r:id="rId4"/>
    <sheet name="Sheet6" sheetId="6" r:id="rId5"/>
  </sheets>
  <definedNames>
    <definedName name="_xlcn.WorksheetConnection_Book1Table11" hidden="1">Table1[]</definedName>
    <definedName name="_xlcn.WorksheetConnection_Book1Table41" hidden="1">Table4[]</definedName>
    <definedName name="_xlcn.WorksheetConnection_SalesA1G511" hidden="1">Sales!$A$1:$G$51</definedName>
  </definedNames>
  <calcPr calcId="191029"/>
  <pivotCaches>
    <pivotCache cacheId="56" r:id="rId6"/>
    <pivotCache cacheId="41" r:id="rId7"/>
    <pivotCache cacheId="55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4" name="Table4" connection="WorksheetConnection_Book1!Table4"/>
          <x15:modelTable id="Table1" name="Table1" connection="WorksheetConnection_Book1!Table1"/>
          <x15:modelTable id="Range" name="Range" connection="WorksheetConnection_Sales!$A$1:$G$51"/>
        </x15:modelTables>
        <x15:modelRelationships>
          <x15:modelRelationship fromTable="Table1" fromColumn="Product_id" toTable="Table4" toColumn="Product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7" i="4" l="1"/>
  <c r="B7" i="4"/>
  <c r="Q7" i="4"/>
  <c r="G7" i="4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5AD3D5-A7ED-48BC-A08F-1D4909B01C8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FB337DE-30E6-41A5-9983-78EE0BD5BA19}" name="WorksheetConnection_Book1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Book1Table11"/>
        </x15:connection>
      </ext>
    </extLst>
  </connection>
  <connection id="3" xr16:uid="{C6D4B83D-C5AE-465E-A4FE-C59198AB9245}" name="WorksheetConnection_Book1!Table4" type="102" refreshedVersion="8" minRefreshableVersion="5">
    <extLst>
      <ext xmlns:x15="http://schemas.microsoft.com/office/spreadsheetml/2010/11/main" uri="{DE250136-89BD-433C-8126-D09CA5730AF9}">
        <x15:connection id="Table4">
          <x15:rangePr sourceName="_xlcn.WorksheetConnection_Book1Table41"/>
        </x15:connection>
      </ext>
    </extLst>
  </connection>
  <connection id="4" xr16:uid="{DA2DAB76-C259-4D8B-AE8D-ADF2122F90A8}" name="WorksheetConnection_Sales!$A$1:$G$5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alesA1G511"/>
        </x15:connection>
      </ext>
    </extLst>
  </connection>
</connections>
</file>

<file path=xl/sharedStrings.xml><?xml version="1.0" encoding="utf-8"?>
<sst xmlns="http://schemas.openxmlformats.org/spreadsheetml/2006/main" count="511" uniqueCount="318">
  <si>
    <t>Order_id</t>
  </si>
  <si>
    <t>Order_date</t>
  </si>
  <si>
    <t xml:space="preserve">Customer_id </t>
  </si>
  <si>
    <t>Product_id</t>
  </si>
  <si>
    <t>Quantity</t>
  </si>
  <si>
    <t>Sales Amount</t>
  </si>
  <si>
    <t>Discount</t>
  </si>
  <si>
    <t>Ord0001</t>
  </si>
  <si>
    <t>Ord0002</t>
  </si>
  <si>
    <t>Ord0003</t>
  </si>
  <si>
    <t>Ord0004</t>
  </si>
  <si>
    <t>Ord0005</t>
  </si>
  <si>
    <t>Ord0006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</si>
  <si>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</si>
  <si>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</si>
  <si>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</si>
  <si>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</si>
  <si>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</si>
  <si>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</si>
  <si>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</si>
  <si>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</si>
  <si>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</si>
  <si>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</si>
  <si>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</si>
  <si>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</si>
  <si>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</si>
  <si>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</si>
  <si>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</si>
  <si>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</si>
  <si>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</si>
  <si>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</si>
  <si>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</si>
  <si>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</si>
  <si>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</si>
  <si>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</si>
  <si>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</si>
  <si>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</si>
  <si>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</si>
  <si>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</si>
  <si>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</si>
  <si>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</si>
  <si>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</si>
  <si>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</si>
  <si>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</si>
  <si>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</si>
  <si>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</si>
  <si>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</si>
  <si>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</si>
  <si>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</si>
  <si>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</si>
  <si>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</si>
  <si>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</si>
  <si>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</si>
  <si>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</si>
  <si>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</si>
  <si>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</si>
  <si>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</si>
  <si>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cust0001</t>
  </si>
  <si>
    <t>cust0002</t>
  </si>
  <si>
    <t>cust0003</t>
  </si>
  <si>
    <t>cust0004</t>
  </si>
  <si>
    <t>cust0005</t>
  </si>
  <si>
    <t>cust0006</t>
  </si>
  <si>
    <t>cust0007</t>
  </si>
  <si>
    <t>cust0008</t>
  </si>
  <si>
    <t>cust0009</t>
  </si>
  <si>
    <t>cust0010</t>
  </si>
  <si>
    <t>cust0011</t>
  </si>
  <si>
    <t>cust0012</t>
  </si>
  <si>
    <t>cust0013</t>
  </si>
  <si>
    <t>cust0014</t>
  </si>
  <si>
    <t>cust0015</t>
  </si>
  <si>
    <t>cust0016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</si>
  <si>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</si>
  <si>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</si>
  <si>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</si>
  <si>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</si>
  <si>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</si>
  <si>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</si>
  <si>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</si>
  <si>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</si>
  <si>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</si>
  <si>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</si>
  <si>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</si>
  <si>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</si>
  <si>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</si>
  <si>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</si>
  <si>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</si>
  <si>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</si>
  <si>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</si>
  <si>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</si>
  <si>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</si>
  <si>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</si>
  <si>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</si>
  <si>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</si>
  <si>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</si>
  <si>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</si>
  <si>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</si>
  <si>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</si>
  <si>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</si>
  <si>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</si>
  <si>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</si>
  <si>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</si>
  <si>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</si>
  <si>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</si>
  <si>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</si>
  <si>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</si>
  <si>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pid0001</t>
  </si>
  <si>
    <t>pid0002</t>
  </si>
  <si>
    <t>pid0003</t>
  </si>
  <si>
    <t>pid0004</t>
  </si>
  <si>
    <t>pid0005</t>
  </si>
  <si>
    <t>pid0006</t>
  </si>
  <si>
    <t>pid0007</t>
  </si>
  <si>
    <t>pid0008</t>
  </si>
  <si>
    <t>pid0009</t>
  </si>
  <si>
    <t>pid0010</t>
  </si>
  <si>
    <t>pid0011</t>
  </si>
  <si>
    <t>pid0012</t>
  </si>
  <si>
    <t>pid0013</t>
  </si>
  <si>
    <t>pid0014</t>
  </si>
  <si>
    <t>pid0015</t>
  </si>
  <si>
    <t>pid0016</t>
  </si>
  <si>
    <t>pid0017</t>
  </si>
  <si>
    <t>pid0018</t>
  </si>
  <si>
    <t>pid0019</t>
  </si>
  <si>
    <t>pid0020</t>
  </si>
  <si>
    <t>pid0021</t>
  </si>
  <si>
    <t>pid0022</t>
  </si>
  <si>
    <t>pid0023</t>
  </si>
  <si>
    <t>pid0024</t>
  </si>
  <si>
    <t>pid0025</t>
  </si>
  <si>
    <t>pid0026</t>
  </si>
  <si>
    <t>pid0027</t>
  </si>
  <si>
    <t>pid0028</t>
  </si>
  <si>
    <t>pid0029</t>
  </si>
  <si>
    <t>pid0030</t>
  </si>
  <si>
    <t>pid0031</t>
  </si>
  <si>
    <t>pid0032</t>
  </si>
  <si>
    <t>pid0033</t>
  </si>
  <si>
    <t>pid0034</t>
  </si>
  <si>
    <t>pid0035</t>
  </si>
  <si>
    <t>pid0036</t>
  </si>
  <si>
    <t>pid0037</t>
  </si>
  <si>
    <t>pid0038</t>
  </si>
  <si>
    <t>pid0039</t>
  </si>
  <si>
    <t>pid0040</t>
  </si>
  <si>
    <t>pid0041</t>
  </si>
  <si>
    <t>pid0042</t>
  </si>
  <si>
    <t>pid0043</t>
  </si>
  <si>
    <t>pid0044</t>
  </si>
  <si>
    <t>pid0045</t>
  </si>
  <si>
    <t>pid0046</t>
  </si>
  <si>
    <t>pid0047</t>
  </si>
  <si>
    <t>pid0048</t>
  </si>
  <si>
    <t>pid0049</t>
  </si>
  <si>
    <t>pid0050</t>
  </si>
  <si>
    <t>Customer_name</t>
  </si>
  <si>
    <t>City</t>
  </si>
  <si>
    <t>Aarav Sharma</t>
  </si>
  <si>
    <t>Vivaan Verma</t>
  </si>
  <si>
    <t>Aditya Gupta</t>
  </si>
  <si>
    <t>Vihaan Mehta</t>
  </si>
  <si>
    <t>Arjun Kapoor</t>
  </si>
  <si>
    <t>Sai Malhotra</t>
  </si>
  <si>
    <t>Reyansh Joshi</t>
  </si>
  <si>
    <t>Krishna Nair</t>
  </si>
  <si>
    <t>Ishaan Reddy</t>
  </si>
  <si>
    <t>Shaurya Bansal</t>
  </si>
  <si>
    <t>Ananya Iyer</t>
  </si>
  <si>
    <t>Diya Chawla</t>
  </si>
  <si>
    <t>Aadhya Sinha</t>
  </si>
  <si>
    <t>Myra Arora</t>
  </si>
  <si>
    <t>Kiara Khanna</t>
  </si>
  <si>
    <t>Saanvi Menon</t>
  </si>
  <si>
    <t>Pari Desai</t>
  </si>
  <si>
    <t>Riya Kulkarni</t>
  </si>
  <si>
    <t>Navya Pillai</t>
  </si>
  <si>
    <t>Kavya Bhatt</t>
  </si>
  <si>
    <t>Rahul Yadav</t>
  </si>
  <si>
    <t>Karan Mishra</t>
  </si>
  <si>
    <t>Mohit Saxena</t>
  </si>
  <si>
    <t>Deepak Tiwari</t>
  </si>
  <si>
    <t>Rohit Tripathi</t>
  </si>
  <si>
    <t>Neha Agrawal</t>
  </si>
  <si>
    <t>Pooja Jain</t>
  </si>
  <si>
    <t>Sneha Dubey</t>
  </si>
  <si>
    <t>Priya Srivastava</t>
  </si>
  <si>
    <t>Simran Kaur</t>
  </si>
  <si>
    <t>Manish Thakur</t>
  </si>
  <si>
    <t>Amit Choudhary</t>
  </si>
  <si>
    <t>Nitin Solanki</t>
  </si>
  <si>
    <t>Vikas Rathore</t>
  </si>
  <si>
    <t>Suresh Chauhan</t>
  </si>
  <si>
    <t>Meena Patil</t>
  </si>
  <si>
    <t>Rekha Pawar</t>
  </si>
  <si>
    <t>Sunita Shetty</t>
  </si>
  <si>
    <t>Alok Prasad</t>
  </si>
  <si>
    <t>Rakesh Yadav</t>
  </si>
  <si>
    <t>Harsh Oberoi</t>
  </si>
  <si>
    <t>Tanvi Sehgal</t>
  </si>
  <si>
    <t>Nandini Bose</t>
  </si>
  <si>
    <t>Akash Pandey</t>
  </si>
  <si>
    <t>Varun Grover</t>
  </si>
  <si>
    <t>Yash Anand</t>
  </si>
  <si>
    <t>Dev Narang</t>
  </si>
  <si>
    <t>Tanish Walia</t>
  </si>
  <si>
    <t>Muskan Sidhu</t>
  </si>
  <si>
    <t>Bhavna Puri</t>
  </si>
  <si>
    <t>Mumbai</t>
  </si>
  <si>
    <t>Delhi</t>
  </si>
  <si>
    <t>Bengaluru</t>
  </si>
  <si>
    <t>Hyderabad</t>
  </si>
  <si>
    <t>Chennai</t>
  </si>
  <si>
    <t>Pune</t>
  </si>
  <si>
    <t>Kolkata</t>
  </si>
  <si>
    <t>Ahmedabad</t>
  </si>
  <si>
    <t>Jaipur</t>
  </si>
  <si>
    <t>Lucknow</t>
  </si>
  <si>
    <t>Surat</t>
  </si>
  <si>
    <t>Kanpur</t>
  </si>
  <si>
    <t>Nagpur</t>
  </si>
  <si>
    <t>Indore</t>
  </si>
  <si>
    <t>Bhopal</t>
  </si>
  <si>
    <t>Patna</t>
  </si>
  <si>
    <t>Chandigarh</t>
  </si>
  <si>
    <t>Ludhiana</t>
  </si>
  <si>
    <t>Amritsar</t>
  </si>
  <si>
    <t>Varanasi</t>
  </si>
  <si>
    <t>Product Name</t>
  </si>
  <si>
    <t>Wireless Mouse</t>
  </si>
  <si>
    <t>Bluetooth Speaker</t>
  </si>
  <si>
    <t>USB-C Charger</t>
  </si>
  <si>
    <t>Laptop Stand</t>
  </si>
  <si>
    <t>Gaming Keyboard</t>
  </si>
  <si>
    <t>Smartphone Case</t>
  </si>
  <si>
    <t>LED Desk Lamp</t>
  </si>
  <si>
    <t>Portable Power Bank</t>
  </si>
  <si>
    <t>Noise Cancelling Headphones</t>
  </si>
  <si>
    <t>Fitness Smartwatch</t>
  </si>
  <si>
    <t>Water Bottle</t>
  </si>
  <si>
    <t>Office Chair</t>
  </si>
  <si>
    <t>Mechanical Pencil</t>
  </si>
  <si>
    <t>Coffee Mug</t>
  </si>
  <si>
    <t>External Hard Drive</t>
  </si>
  <si>
    <t>Wireless Earbuds</t>
  </si>
  <si>
    <t>Tablet Cover</t>
  </si>
  <si>
    <t>Air Purifier</t>
  </si>
  <si>
    <t>Electric Kettle</t>
  </si>
  <si>
    <t>Yoga Mat</t>
  </si>
  <si>
    <t>Digital Alarm Clock</t>
  </si>
  <si>
    <t>Mini Projector</t>
  </si>
  <si>
    <t>Backpack</t>
  </si>
  <si>
    <t>Printer Ink Cartridge</t>
  </si>
  <si>
    <t>Smart LED Bulb</t>
  </si>
  <si>
    <t>Webcam</t>
  </si>
  <si>
    <t>Monitor Stand</t>
  </si>
  <si>
    <t>Portable SSD</t>
  </si>
  <si>
    <t>Graphic Tablet</t>
  </si>
  <si>
    <t>Phone Tripod</t>
  </si>
  <si>
    <t>Vacuum Cleaner</t>
  </si>
  <si>
    <t>Hair Dryer</t>
  </si>
  <si>
    <t>Microwave Oven</t>
  </si>
  <si>
    <t>Refrigerator Organizer</t>
  </si>
  <si>
    <t>Bluetooth Adapter</t>
  </si>
  <si>
    <t>Electric Toothbrush</t>
  </si>
  <si>
    <t>Cookware Set</t>
  </si>
  <si>
    <t>Running Shoes</t>
  </si>
  <si>
    <t>Sunglasses</t>
  </si>
  <si>
    <t>Travel Pillow</t>
  </si>
  <si>
    <t>Wireless Router</t>
  </si>
  <si>
    <t>Desk Organizer</t>
  </si>
  <si>
    <t>Action Camera</t>
  </si>
  <si>
    <t>Laptop Backpack</t>
  </si>
  <si>
    <t>Ceiling Fan</t>
  </si>
  <si>
    <t>Gaming Controller</t>
  </si>
  <si>
    <t>Smart Door Lock</t>
  </si>
  <si>
    <t>Portable Fan</t>
  </si>
  <si>
    <t>Study Table</t>
  </si>
  <si>
    <t>Electric Iron</t>
  </si>
  <si>
    <t>Category</t>
  </si>
  <si>
    <t>Electronics</t>
  </si>
  <si>
    <t>Accessories</t>
  </si>
  <si>
    <t>Home Decor</t>
  </si>
  <si>
    <t>Wearables</t>
  </si>
  <si>
    <t>Kitchen</t>
  </si>
  <si>
    <t>Furniture</t>
  </si>
  <si>
    <t>Stationery</t>
  </si>
  <si>
    <t>Home Appliances</t>
  </si>
  <si>
    <t>Fitness</t>
  </si>
  <si>
    <t>Bags</t>
  </si>
  <si>
    <t>Office Supplies</t>
  </si>
  <si>
    <t>Personal Care</t>
  </si>
  <si>
    <t>Footwear</t>
  </si>
  <si>
    <t>Fashion</t>
  </si>
  <si>
    <t>Travel</t>
  </si>
  <si>
    <t>Security</t>
  </si>
  <si>
    <t>Price</t>
  </si>
  <si>
    <t>Total Orders 📦</t>
  </si>
  <si>
    <t>Quantity Sold 🛒</t>
  </si>
  <si>
    <t>Average Discount%</t>
  </si>
  <si>
    <t>Sales Performance Dashboard</t>
  </si>
  <si>
    <t>Sum of Sales Amount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</si>
  <si>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</si>
  <si>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</si>
  <si>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</si>
  <si>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</si>
  <si>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</si>
  <si>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</si>
  <si>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</si>
  <si>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</si>
  <si>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</si>
  <si>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</si>
  <si>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</si>
  <si>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</si>
  <si>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</si>
  <si>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</si>
  <si>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          Total Sales 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</si>
</sst>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8" formatCode="&quot;₹&quot;\ #,##0"/>
    <numFmt numFmtId="172" formatCode="&quot;₹&quot;\ #,##0.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48"/>
      <color rgb="FFF3F4F6"/>
      <name val="Aptos Narrow"/>
      <family val="2"/>
      <scheme val="minor"/>
    </font>
    <font>
      <b/>
      <sz val="36"/>
      <color rgb="FFF3F4F6"/>
      <name val="Aptos Narrow"/>
      <family val="2"/>
      <scheme val="minor"/>
    </font>
    <font>
      <sz val="11"/>
      <color rgb="FFF3F4F6"/>
      <name val="Aptos Narrow"/>
      <family val="2"/>
      <scheme val="minor"/>
    </font>
    <font>
      <b/>
      <sz val="24"/>
      <color rgb="FFF3F4F6"/>
      <name val="Aptos Narrow"/>
      <family val="2"/>
      <scheme val="minor"/>
    </font>
    <font>
      <b/>
      <sz val="28"/>
      <color rgb="FFF3F4F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4EA5D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/>
    <xf numFmtId="14" fontId="0" fillId="0" borderId="0" xfId="0" applyNumberFormat="1"/>
    <xf numFmtId="9" fontId="0" fillId="0" borderId="0" xfId="0" applyNumberFormat="1"/>
    <xf numFmtId="44" fontId="0" fillId="0" borderId="0" xfId="1" applyFont="1"/>
    <xf numFmtId="168" fontId="2" fillId="0" borderId="0" xfId="0" applyNumberFormat="1" applyFont="1"/>
    <xf numFmtId="168" fontId="0" fillId="0" borderId="0" xfId="0" applyNumberFormat="1"/>
    <xf numFmtId="9" fontId="2" fillId="0" borderId="0" xfId="0" applyNumberFormat="1" applyFont="1"/>
    <xf numFmtId="0" fontId="0" fillId="0" borderId="0" xfId="0" applyAlignment="1">
      <alignment vertical="center" wrapText="1"/>
    </xf>
    <xf numFmtId="172" fontId="0" fillId="0" borderId="0" xfId="0" applyNumberFormat="1"/>
    <xf numFmtId="172" fontId="2" fillId="0" borderId="0" xfId="0" applyNumberFormat="1" applyFont="1"/>
    <xf numFmtId="0" fontId="0" fillId="0" borderId="0" xfId="0" applyFill="1" applyAlignment="1">
      <alignment horizont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5" fillId="0" borderId="0" xfId="0" applyFont="1" applyFill="1" applyAlignment="1">
      <alignment horizontal="center"/>
    </xf>
    <xf numFmtId="0" fontId="6" fillId="0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Fill="1" applyAlignment="1"/>
    <xf numFmtId="0" fontId="6" fillId="0" borderId="0" xfId="0" pivotButton="1" applyFont="1"/>
    <xf numFmtId="0" fontId="6" fillId="0" borderId="0" xfId="0" applyFont="1" applyAlignment="1">
      <alignment horizontal="left"/>
    </xf>
    <xf numFmtId="0" fontId="6" fillId="0" borderId="0" xfId="0" applyNumberFormat="1" applyFont="1"/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168" fontId="8" fillId="3" borderId="0" xfId="0" applyNumberFormat="1" applyFont="1" applyFill="1" applyBorder="1" applyAlignment="1">
      <alignment horizontal="center"/>
    </xf>
    <xf numFmtId="0" fontId="7" fillId="3" borderId="0" xfId="0" applyFont="1" applyFill="1" applyBorder="1" applyAlignment="1">
      <alignment horizontal="left" vertical="top" indent="4"/>
    </xf>
    <xf numFmtId="0" fontId="6" fillId="3" borderId="0" xfId="0" applyFont="1" applyFill="1" applyBorder="1" applyAlignment="1">
      <alignment horizontal="left" vertical="top" indent="4"/>
    </xf>
    <xf numFmtId="0" fontId="8" fillId="3" borderId="0" xfId="0" applyFont="1" applyFill="1" applyBorder="1" applyAlignment="1">
      <alignment horizontal="center"/>
    </xf>
    <xf numFmtId="0" fontId="7" fillId="3" borderId="0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/>
    </xf>
    <xf numFmtId="9" fontId="8" fillId="3" borderId="0" xfId="0" applyNumberFormat="1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36">
    <dxf>
      <font>
        <color rgb="FFF3F4F6"/>
      </font>
    </dxf>
    <dxf>
      <font>
        <color rgb="FFF3F4F6"/>
      </font>
    </dxf>
    <dxf>
      <font>
        <color rgb="FFF3F4F6"/>
      </font>
    </dxf>
    <dxf>
      <font>
        <color rgb="FFF3F4F6"/>
      </font>
    </dxf>
    <dxf>
      <font>
        <color rgb="FFF3F4F6"/>
      </font>
    </dxf>
    <dxf>
      <font>
        <color rgb="FFF3F4F6"/>
      </font>
    </dxf>
    <dxf>
      <font>
        <color rgb="FFF3F4F6"/>
      </font>
    </dxf>
    <dxf>
      <font>
        <color rgb="FFF3F4F6"/>
      </font>
    </dxf>
    <dxf>
      <font>
        <color rgb="FFF3F4F6"/>
      </font>
    </dxf>
    <dxf>
      <font>
        <color rgb="FFF3F4F6"/>
      </font>
    </dxf>
    <dxf>
      <font>
        <color rgb="FFF3F4F6"/>
      </font>
    </dxf>
    <dxf>
      <font>
        <color rgb="FFF3F4F6"/>
      </font>
    </dxf>
    <dxf>
      <font>
        <color rgb="FFF3F4F6"/>
      </font>
    </dxf>
    <dxf>
      <font>
        <color rgb="FFF3F4F6"/>
      </font>
    </dxf>
    <dxf>
      <font>
        <color theme="0" tint="-0.14999847407452621"/>
      </font>
    </dxf>
    <dxf>
      <font>
        <color theme="0" tint="-0.14999847407452621"/>
      </font>
    </dxf>
    <dxf>
      <font>
        <color theme="0" tint="-0.14999847407452621"/>
      </font>
    </dxf>
    <dxf>
      <font>
        <color theme="0" tint="-0.14999847407452621"/>
      </font>
    </dxf>
    <dxf>
      <font>
        <color theme="0" tint="-0.14999847407452621"/>
      </font>
    </dxf>
    <dxf>
      <font>
        <color theme="0" tint="-0.14999847407452621"/>
      </font>
    </dxf>
    <dxf>
      <font>
        <color theme="0" tint="-0.1499984740745262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72" formatCode="&quot;₹&quot;\ 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3" formatCode="0%"/>
    </dxf>
    <dxf>
      <numFmt numFmtId="168" formatCode="&quot;₹&quot;\ #,##0"/>
    </dxf>
    <dxf>
      <numFmt numFmtId="19" formatCode="dd/mm/yyyy"/>
    </dxf>
  </dxfs>
  <tableStyles count="0" defaultTableStyle="TableStyleMedium2" defaultPivotStyle="PivotStyleLight16"/>
  <colors>
    <mruColors>
      <color rgb="FFF3F4F6"/>
      <color rgb="FF000080"/>
      <color rgb="FF4EA5D9"/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[Dashbord.xlsx]Dashboard!PivotTable4</c:name>
    <c:fmtId val="0"/>
  </c:pivotSource>
  <c:chart>
    <c:autoTitleDeleted val="1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089716388033949"/>
          <c:y val="0.23112840630753054"/>
          <c:w val="0.79662796335039199"/>
          <c:h val="0.55544105733203231"/>
        </c:manualLayout>
      </c:layout>
      <c:lineChart>
        <c:grouping val="standard"/>
        <c:varyColors val="0"/>
        <c:ser>
          <c:idx val="0"/>
          <c:order val="0"/>
          <c:tx>
            <c:strRef>
              <c:f>Dashboard!$C$14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Dashboard!$B$15:$B$27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Dashboard!$C$15:$C$27</c:f>
              <c:numCache>
                <c:formatCode>General</c:formatCode>
                <c:ptCount val="12"/>
                <c:pt idx="0">
                  <c:v>41202</c:v>
                </c:pt>
                <c:pt idx="1">
                  <c:v>16514</c:v>
                </c:pt>
                <c:pt idx="2">
                  <c:v>13141</c:v>
                </c:pt>
                <c:pt idx="3">
                  <c:v>18280</c:v>
                </c:pt>
                <c:pt idx="4">
                  <c:v>31311</c:v>
                </c:pt>
                <c:pt idx="5">
                  <c:v>17770</c:v>
                </c:pt>
                <c:pt idx="6">
                  <c:v>14286</c:v>
                </c:pt>
                <c:pt idx="7">
                  <c:v>24347</c:v>
                </c:pt>
                <c:pt idx="8">
                  <c:v>30910</c:v>
                </c:pt>
                <c:pt idx="9">
                  <c:v>35972</c:v>
                </c:pt>
                <c:pt idx="10">
                  <c:v>7956</c:v>
                </c:pt>
                <c:pt idx="11">
                  <c:v>22986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1B-4291-8006-4A68763D79D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2845296"/>
        <c:axId val="412844816"/>
      </c:lineChart>
      <c:catAx>
        <c:axId val="412845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844816"/>
        <c:crosses val="autoZero"/>
        <c:auto val="1"/>
        <c:lblAlgn val="ctr"/>
        <c:lblOffset val="100"/>
        <c:noMultiLvlLbl val="0"/>
      </c:catAx>
      <c:valAx>
        <c:axId val="412844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845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[Dashbord.xlsx]Sheet6!PivotTable6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5C1-44C6-83BD-7D54B43BFEB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5C1-44C6-83BD-7D54B43BFEB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5C1-44C6-83BD-7D54B43BFEB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5C1-44C6-83BD-7D54B43BFEB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5C1-44C6-83BD-7D54B43BFEB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5C1-44C6-83BD-7D54B43BFEB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5C1-44C6-83BD-7D54B43BFEB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5C1-44C6-83BD-7D54B43BFEB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5C1-44C6-83BD-7D54B43BFEB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5C1-44C6-83BD-7D54B43BFEB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35C1-44C6-83BD-7D54B43BFEB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35C1-44C6-83BD-7D54B43BFEBA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35C1-44C6-83BD-7D54B43BFEBA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35C1-44C6-83BD-7D54B43BFEBA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35C1-44C6-83BD-7D54B43BFEBA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35C1-44C6-83BD-7D54B43BFEB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Sheet6!$A$4:$A$20</c:f>
              <c:strCache>
                <c:ptCount val="16"/>
                <c:pt idx="0">
                  <c:v>Accessories</c:v>
                </c:pt>
                <c:pt idx="1">
                  <c:v>Bags</c:v>
                </c:pt>
                <c:pt idx="2">
                  <c:v>Electronics</c:v>
                </c:pt>
                <c:pt idx="3">
                  <c:v>Fashion</c:v>
                </c:pt>
                <c:pt idx="4">
                  <c:v>Fitness</c:v>
                </c:pt>
                <c:pt idx="5">
                  <c:v>Footwear</c:v>
                </c:pt>
                <c:pt idx="6">
                  <c:v>Furniture</c:v>
                </c:pt>
                <c:pt idx="7">
                  <c:v>Home Appliances</c:v>
                </c:pt>
                <c:pt idx="8">
                  <c:v>Home Decor</c:v>
                </c:pt>
                <c:pt idx="9">
                  <c:v>Kitchen</c:v>
                </c:pt>
                <c:pt idx="10">
                  <c:v>Office Supplies</c:v>
                </c:pt>
                <c:pt idx="11">
                  <c:v>Personal Care</c:v>
                </c:pt>
                <c:pt idx="12">
                  <c:v>Security</c:v>
                </c:pt>
                <c:pt idx="13">
                  <c:v>Stationery</c:v>
                </c:pt>
                <c:pt idx="14">
                  <c:v>Travel</c:v>
                </c:pt>
                <c:pt idx="15">
                  <c:v>Wearables</c:v>
                </c:pt>
              </c:strCache>
            </c:strRef>
          </c:cat>
          <c:val>
            <c:numRef>
              <c:f>Sheet6!$B$4:$B$20</c:f>
              <c:numCache>
                <c:formatCode>General</c:formatCode>
                <c:ptCount val="16"/>
                <c:pt idx="0">
                  <c:v>34024</c:v>
                </c:pt>
                <c:pt idx="1">
                  <c:v>4399</c:v>
                </c:pt>
                <c:pt idx="2">
                  <c:v>89822</c:v>
                </c:pt>
                <c:pt idx="3">
                  <c:v>8741</c:v>
                </c:pt>
                <c:pt idx="4">
                  <c:v>6716</c:v>
                </c:pt>
                <c:pt idx="5">
                  <c:v>8297</c:v>
                </c:pt>
                <c:pt idx="6">
                  <c:v>9169</c:v>
                </c:pt>
                <c:pt idx="7">
                  <c:v>37038</c:v>
                </c:pt>
                <c:pt idx="8">
                  <c:v>5029</c:v>
                </c:pt>
                <c:pt idx="9">
                  <c:v>23330</c:v>
                </c:pt>
                <c:pt idx="10">
                  <c:v>16547</c:v>
                </c:pt>
                <c:pt idx="11">
                  <c:v>7157</c:v>
                </c:pt>
                <c:pt idx="12">
                  <c:v>9435</c:v>
                </c:pt>
                <c:pt idx="13">
                  <c:v>1446</c:v>
                </c:pt>
                <c:pt idx="14">
                  <c:v>7381</c:v>
                </c:pt>
                <c:pt idx="15">
                  <c:v>6144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35C1-44C6-83BD-7D54B43BFEB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[Dashbord.xlsx]Sheet6!PivotTable8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Products by Sales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Sheet6!$E$9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Sheet6!$D$10:$D$15</c:f>
              <c:strCache>
                <c:ptCount val="5"/>
                <c:pt idx="0">
                  <c:v>Phone Tripod</c:v>
                </c:pt>
                <c:pt idx="1">
                  <c:v>Wireless Earbuds</c:v>
                </c:pt>
                <c:pt idx="2">
                  <c:v>Smart Door Lock</c:v>
                </c:pt>
                <c:pt idx="3">
                  <c:v>Water Bottle</c:v>
                </c:pt>
                <c:pt idx="4">
                  <c:v>Smartphone Case</c:v>
                </c:pt>
              </c:strCache>
            </c:strRef>
          </c:cat>
          <c:val>
            <c:numRef>
              <c:f>Sheet6!$E$10:$E$15</c:f>
              <c:numCache>
                <c:formatCode>General</c:formatCode>
                <c:ptCount val="5"/>
                <c:pt idx="0">
                  <c:v>9969</c:v>
                </c:pt>
                <c:pt idx="1">
                  <c:v>9887</c:v>
                </c:pt>
                <c:pt idx="2">
                  <c:v>9435</c:v>
                </c:pt>
                <c:pt idx="3">
                  <c:v>9185</c:v>
                </c:pt>
                <c:pt idx="4">
                  <c:v>9126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25-4E1C-9256-CAC7D28EE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99919952"/>
        <c:axId val="599921392"/>
      </c:barChart>
      <c:catAx>
        <c:axId val="59991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921392"/>
        <c:crosses val="autoZero"/>
        <c:auto val="1"/>
        <c:lblAlgn val="ctr"/>
        <c:lblOffset val="100"/>
        <c:noMultiLvlLbl val="0"/>
      </c:catAx>
      <c:valAx>
        <c:axId val="599921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919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[Dashbord.xlsx]Sheet6!PivotTable6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Sheet6!$A$4:$A$20</c:f>
              <c:strCache>
                <c:ptCount val="16"/>
                <c:pt idx="0">
                  <c:v>Accessories</c:v>
                </c:pt>
                <c:pt idx="1">
                  <c:v>Bags</c:v>
                </c:pt>
                <c:pt idx="2">
                  <c:v>Electronics</c:v>
                </c:pt>
                <c:pt idx="3">
                  <c:v>Fashion</c:v>
                </c:pt>
                <c:pt idx="4">
                  <c:v>Fitness</c:v>
                </c:pt>
                <c:pt idx="5">
                  <c:v>Footwear</c:v>
                </c:pt>
                <c:pt idx="6">
                  <c:v>Furniture</c:v>
                </c:pt>
                <c:pt idx="7">
                  <c:v>Home Appliances</c:v>
                </c:pt>
                <c:pt idx="8">
                  <c:v>Home Decor</c:v>
                </c:pt>
                <c:pt idx="9">
                  <c:v>Kitchen</c:v>
                </c:pt>
                <c:pt idx="10">
                  <c:v>Office Supplies</c:v>
                </c:pt>
                <c:pt idx="11">
                  <c:v>Personal Care</c:v>
                </c:pt>
                <c:pt idx="12">
                  <c:v>Security</c:v>
                </c:pt>
                <c:pt idx="13">
                  <c:v>Stationery</c:v>
                </c:pt>
                <c:pt idx="14">
                  <c:v>Travel</c:v>
                </c:pt>
                <c:pt idx="15">
                  <c:v>Wearables</c:v>
                </c:pt>
              </c:strCache>
            </c:strRef>
          </c:cat>
          <c:val>
            <c:numRef>
              <c:f>Sheet6!$B$4:$B$20</c:f>
              <c:numCache>
                <c:formatCode>General</c:formatCode>
                <c:ptCount val="16"/>
                <c:pt idx="0">
                  <c:v>34024</c:v>
                </c:pt>
                <c:pt idx="1">
                  <c:v>4399</c:v>
                </c:pt>
                <c:pt idx="2">
                  <c:v>89822</c:v>
                </c:pt>
                <c:pt idx="3">
                  <c:v>8741</c:v>
                </c:pt>
                <c:pt idx="4">
                  <c:v>6716</c:v>
                </c:pt>
                <c:pt idx="5">
                  <c:v>8297</c:v>
                </c:pt>
                <c:pt idx="6">
                  <c:v>9169</c:v>
                </c:pt>
                <c:pt idx="7">
                  <c:v>37038</c:v>
                </c:pt>
                <c:pt idx="8">
                  <c:v>5029</c:v>
                </c:pt>
                <c:pt idx="9">
                  <c:v>23330</c:v>
                </c:pt>
                <c:pt idx="10">
                  <c:v>16547</c:v>
                </c:pt>
                <c:pt idx="11">
                  <c:v>7157</c:v>
                </c:pt>
                <c:pt idx="12">
                  <c:v>9435</c:v>
                </c:pt>
                <c:pt idx="13">
                  <c:v>1446</c:v>
                </c:pt>
                <c:pt idx="14">
                  <c:v>7381</c:v>
                </c:pt>
                <c:pt idx="15">
                  <c:v>6144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4B-49F1-808D-70834B88BD4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[Dashbord.xlsx]Sheet6!PivotTable8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Products by Sales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Sheet6!$E$9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Sheet6!$D$10:$D$15</c:f>
              <c:strCache>
                <c:ptCount val="5"/>
                <c:pt idx="0">
                  <c:v>Phone Tripod</c:v>
                </c:pt>
                <c:pt idx="1">
                  <c:v>Wireless Earbuds</c:v>
                </c:pt>
                <c:pt idx="2">
                  <c:v>Smart Door Lock</c:v>
                </c:pt>
                <c:pt idx="3">
                  <c:v>Water Bottle</c:v>
                </c:pt>
                <c:pt idx="4">
                  <c:v>Smartphone Case</c:v>
                </c:pt>
              </c:strCache>
            </c:strRef>
          </c:cat>
          <c:val>
            <c:numRef>
              <c:f>Sheet6!$E$10:$E$15</c:f>
              <c:numCache>
                <c:formatCode>General</c:formatCode>
                <c:ptCount val="5"/>
                <c:pt idx="0">
                  <c:v>9969</c:v>
                </c:pt>
                <c:pt idx="1">
                  <c:v>9887</c:v>
                </c:pt>
                <c:pt idx="2">
                  <c:v>9435</c:v>
                </c:pt>
                <c:pt idx="3">
                  <c:v>9185</c:v>
                </c:pt>
                <c:pt idx="4">
                  <c:v>9126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AD-4179-978D-41EDD21B7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9919952"/>
        <c:axId val="599921392"/>
      </c:barChart>
      <c:catAx>
        <c:axId val="59991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921392"/>
        <c:crosses val="autoZero"/>
        <c:auto val="1"/>
        <c:lblAlgn val="ctr"/>
        <c:lblOffset val="100"/>
        <c:noMultiLvlLbl val="0"/>
      </c:catAx>
      <c:valAx>
        <c:axId val="599921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919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601727</xdr:colOff>
      <xdr:row>12</xdr:row>
      <xdr:rowOff>55879</xdr:rowOff>
    </xdr:from>
    <xdr:to>
      <xdr:col>20</xdr:col>
      <xdr:colOff>143936</xdr:colOff>
      <xdr:row>32</xdr:row>
      <xdr:rowOff>15679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F15D8D-A786-BD78-2D04-B6D783A185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47037</xdr:colOff>
      <xdr:row>35</xdr:row>
      <xdr:rowOff>29063</xdr:rowOff>
    </xdr:from>
    <xdr:to>
      <xdr:col>9</xdr:col>
      <xdr:colOff>138415</xdr:colOff>
      <xdr:row>58</xdr:row>
      <xdr:rowOff>162908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A062BC9-08B4-4D8B-9C13-50E720482C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272142</xdr:colOff>
      <xdr:row>36</xdr:row>
      <xdr:rowOff>143631</xdr:rowOff>
    </xdr:from>
    <xdr:to>
      <xdr:col>20</xdr:col>
      <xdr:colOff>165099</xdr:colOff>
      <xdr:row>59</xdr:row>
      <xdr:rowOff>105834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229CFB6-0C1B-4361-8BE8-0260B8A13D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88900</xdr:colOff>
      <xdr:row>20</xdr:row>
      <xdr:rowOff>82550</xdr:rowOff>
    </xdr:from>
    <xdr:to>
      <xdr:col>1</xdr:col>
      <xdr:colOff>996950</xdr:colOff>
      <xdr:row>22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EF33D7-5C58-CAF9-54EE-8B900D4A01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869950</xdr:colOff>
      <xdr:row>6</xdr:row>
      <xdr:rowOff>50800</xdr:rowOff>
    </xdr:from>
    <xdr:to>
      <xdr:col>7</xdr:col>
      <xdr:colOff>82550</xdr:colOff>
      <xdr:row>21</xdr:row>
      <xdr:rowOff>31750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64D76C-3A4E-278D-4F79-6F2BD7B563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chin Tanwar" refreshedDate="46155.645377314817" createdVersion="8" refreshedVersion="8" minRefreshableVersion="3" recordCount="50" xr:uid="{E9992975-10D0-4454-8C53-5EDD97EAFE45}">
  <cacheSource type="worksheet">
    <worksheetSource ref="A1:G51" sheet="Sales"/>
  </cacheSource>
  <cacheFields count="9">
    <cacheField name="Order_id" numFmtId="0">
      <sharedItems/>
    </cacheField>
    <cacheField name="Order_date" numFmtId="14">
      <sharedItems containsSemiMixedTypes="0" containsNonDate="0" containsDate="1" containsString="0" minDate="2026-01-11T00:00:00" maxDate="2026-12-24T00:00:00" count="45">
        <d v="2026-01-11T00:00:00"/>
        <d v="2026-01-14T00:00:00"/>
        <d v="2026-01-19T00:00:00"/>
        <d v="2026-01-21T00:00:00"/>
        <d v="2026-02-07T00:00:00"/>
        <d v="2026-02-19T00:00:00"/>
        <d v="2026-03-06T00:00:00"/>
        <d v="2026-03-17T00:00:00"/>
        <d v="2026-03-30T00:00:00"/>
        <d v="2026-04-12T00:00:00"/>
        <d v="2026-04-15T00:00:00"/>
        <d v="2026-04-26T00:00:00"/>
        <d v="2026-05-01T00:00:00"/>
        <d v="2026-05-12T00:00:00"/>
        <d v="2026-05-13T00:00:00"/>
        <d v="2026-05-17T00:00:00"/>
        <d v="2026-05-22T00:00:00"/>
        <d v="2026-06-03T00:00:00"/>
        <d v="2026-06-08T00:00:00"/>
        <d v="2026-06-14T00:00:00"/>
        <d v="2026-06-25T00:00:00"/>
        <d v="2026-07-04T00:00:00"/>
        <d v="2026-07-06T00:00:00"/>
        <d v="2026-07-14T00:00:00"/>
        <d v="2026-07-23T00:00:00"/>
        <d v="2026-08-01T00:00:00"/>
        <d v="2026-08-11T00:00:00"/>
        <d v="2026-08-22T00:00:00"/>
        <d v="2026-08-27T00:00:00"/>
        <d v="2026-09-06T00:00:00"/>
        <d v="2026-09-20T00:00:00"/>
        <d v="2026-09-23T00:00:00"/>
        <d v="2026-09-26T00:00:00"/>
        <d v="2026-09-27T00:00:00"/>
        <d v="2026-10-06T00:00:00"/>
        <d v="2026-10-09T00:00:00"/>
        <d v="2026-10-18T00:00:00"/>
        <d v="2026-10-19T00:00:00"/>
        <d v="2026-10-23T00:00:00"/>
        <d v="2026-11-14T00:00:00"/>
        <d v="2026-11-18T00:00:00"/>
        <d v="2026-11-27T00:00:00"/>
        <d v="2026-12-17T00:00:00"/>
        <d v="2026-12-19T00:00:00"/>
        <d v="2026-12-23T00:00:00"/>
      </sharedItems>
      <fieldGroup par="8"/>
    </cacheField>
    <cacheField name="Customer_id " numFmtId="0">
      <sharedItems count="50">
        <s v="cust0001"/>
        <s v="cust0002"/>
        <s v="cust0003"/>
        <s v="cust0004"/>
        <s v="cust0005"/>
        <s v="cust0006"/>
        <s v="cust0007"/>
        <s v="cust0008"/>
        <s v="cust0009"/>
        <s v="cust0010"/>
        <s v="cust0011"/>
        <s v="cust0012"/>
        <s v="cust0013"/>
        <s v="cust0014"/>
        <s v="cust0015"/>
        <s v="cust0016"/>
        <s v="cust0017"/>
        <s v="cust0018"/>
        <s v="cust0019"/>
        <s v="cust0020"/>
        <s v="cust0021"/>
        <s v="cust0022"/>
        <s v="cust0023"/>
        <s v="cust0024"/>
        <s v="cust0025"/>
        <s v="cust0026"/>
        <s v="cust0027"/>
        <s v="cust0028"/>
        <s v="cust0029"/>
        <s v="cust0030"/>
        <s v="cust0031"/>
        <s v="cust0032"/>
        <s v="cust0033"/>
        <s v="cust0034"/>
        <s v="cust0035"/>
        <s v="cust0036"/>
        <s v="cust0037"/>
        <s v="cust0038"/>
        <s v="cust0039"/>
        <s v="cust0040"/>
        <s v="cust0041"/>
        <s v="cust0042"/>
        <s v="cust0043"/>
        <s v="cust0044"/>
        <s v="cust0045"/>
        <s v="cust0046"/>
        <s v="cust0047"/>
        <s v="cust0048"/>
        <s v="cust0049"/>
        <s v="cust0050"/>
      </sharedItems>
    </cacheField>
    <cacheField name="Product_id" numFmtId="0">
      <sharedItems count="50">
        <s v="pid0001"/>
        <s v="pid0002"/>
        <s v="pid0003"/>
        <s v="pid0004"/>
        <s v="pid0005"/>
        <s v="pid0006"/>
        <s v="pid0007"/>
        <s v="pid0008"/>
        <s v="pid0009"/>
        <s v="pid0010"/>
        <s v="pid0011"/>
        <s v="pid0012"/>
        <s v="pid0013"/>
        <s v="pid0014"/>
        <s v="pid0015"/>
        <s v="pid0016"/>
        <s v="pid0017"/>
        <s v="pid0018"/>
        <s v="pid0019"/>
        <s v="pid0020"/>
        <s v="pid0021"/>
        <s v="pid0022"/>
        <s v="pid0023"/>
        <s v="pid0024"/>
        <s v="pid0025"/>
        <s v="pid0026"/>
        <s v="pid0027"/>
        <s v="pid0028"/>
        <s v="pid0029"/>
        <s v="pid0030"/>
        <s v="pid0031"/>
        <s v="pid0032"/>
        <s v="pid0033"/>
        <s v="pid0034"/>
        <s v="pid0035"/>
        <s v="pid0036"/>
        <s v="pid0037"/>
        <s v="pid0038"/>
        <s v="pid0039"/>
        <s v="pid0040"/>
        <s v="pid0041"/>
        <s v="pid0042"/>
        <s v="pid0043"/>
        <s v="pid0044"/>
        <s v="pid0045"/>
        <s v="pid0046"/>
        <s v="pid0047"/>
        <s v="pid0048"/>
        <s v="pid0049"/>
        <s v="pid0050"/>
      </sharedItems>
    </cacheField>
    <cacheField name="Quantity" numFmtId="0">
      <sharedItems containsSemiMixedTypes="0" containsString="0" containsNumber="1" containsInteger="1" minValue="1" maxValue="10"/>
    </cacheField>
    <cacheField name="Sales Amount" numFmtId="168">
      <sharedItems containsSemiMixedTypes="0" containsString="0" containsNumber="1" containsInteger="1" minValue="1360" maxValue="9969"/>
    </cacheField>
    <cacheField name="Discount" numFmtId="9">
      <sharedItems containsSemiMixedTypes="0" containsString="0" containsNumber="1" minValue="0.1" maxValue="0.2"/>
    </cacheField>
    <cacheField name="Days (Order_date)" numFmtId="0" databaseField="0">
      <fieldGroup base="1">
        <rangePr groupBy="days" startDate="2026-01-11T00:00:00" endDate="2026-12-24T00:00:00"/>
        <groupItems count="368">
          <s v="&lt;11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4-12-2026"/>
        </groupItems>
      </fieldGroup>
    </cacheField>
    <cacheField name="Months (Order_date)" numFmtId="0" databaseField="0">
      <fieldGroup base="1">
        <rangePr groupBy="months" startDate="2026-01-11T00:00:00" endDate="2026-12-24T00:00:00"/>
        <groupItems count="14">
          <s v="&lt;11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4-12-2026"/>
        </groupItems>
      </fieldGroup>
    </cacheField>
  </cacheFields>
  <extLst>
    <ext xmlns:x14="http://schemas.microsoft.com/office/spreadsheetml/2009/9/main" uri="{725AE2AE-9491-48be-B2B4-4EB974FC3084}">
      <x14:pivotCacheDefinition pivotCacheId="79744287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chin Tanwar" refreshedDate="46155.67227534722" backgroundQuery="1" createdVersion="8" refreshedVersion="8" minRefreshableVersion="3" recordCount="0" supportSubquery="1" supportAdvancedDrill="1" xr:uid="{5F9BDDE7-1CB5-467E-B1C0-20CC84905EFB}">
  <cacheSource type="external" connectionId="1"/>
  <cacheFields count="2">
    <cacheField name="[Table4].[Category].[Category]" caption="Category" numFmtId="0" hierarchy="16" level="1">
      <sharedItems count="16">
        <s v="Accessories"/>
        <s v="Bags"/>
        <s v="Electronics"/>
        <s v="Fashion"/>
        <s v="Fitness"/>
        <s v="Footwear"/>
        <s v="Furniture"/>
        <s v="Home Appliances"/>
        <s v="Home Decor"/>
        <s v="Kitchen"/>
        <s v="Office Supplies"/>
        <s v="Personal Care"/>
        <s v="Security"/>
        <s v="Stationery"/>
        <s v="Travel"/>
        <s v="Wearables"/>
      </sharedItems>
    </cacheField>
    <cacheField name="[Measures].[Sum of Sales Amount 2]" caption="Sum of Sales Amount 2" numFmtId="0" hierarchy="22" level="32767"/>
  </cacheFields>
  <cacheHierarchies count="23">
    <cacheHierarchy uniqueName="[Range].[Order_id]" caption="Order_id" attribute="1" defaultMemberUniqueName="[Range].[Order_id].[All]" allUniqueName="[Range].[Order_id].[All]" dimensionUniqueName="[Range]" displayFolder="" count="2" memberValueDatatype="130" unbalanced="0"/>
    <cacheHierarchy uniqueName="[Range].[Order_date]" caption="Order_date" attribute="1" time="1" defaultMemberUniqueName="[Range].[Order_date].[All]" allUniqueName="[Range].[Order_date].[All]" dimensionUniqueName="[Range]" displayFolder="" count="2" memberValueDatatype="7" unbalanced="0"/>
    <cacheHierarchy uniqueName="[Range].[Customer_id]" caption="Customer_id" attribute="1" defaultMemberUniqueName="[Range].[Customer_id].[All]" allUniqueName="[Range].[Customer_id].[All]" dimensionUniqueName="[Range]" displayFolder="" count="2" memberValueDatatype="130" unbalanced="0"/>
    <cacheHierarchy uniqueName="[Range].[Product_id]" caption="Product_id" attribute="1" defaultMemberUniqueName="[Range].[Product_id].[All]" allUniqueName="[Range].[Product_id].[All]" dimensionUniqueName="[Range]" displayFolder="" count="2" memberValueDatatype="130" unbalanced="0"/>
    <cacheHierarchy uniqueName="[Range].[Quantity]" caption="Quantity" attribute="1" defaultMemberUniqueName="[Range].[Quantity].[All]" allUniqueName="[Range].[Quantity].[All]" dimensionUniqueName="[Range]" displayFolder="" count="2" memberValueDatatype="20" unbalanced="0"/>
    <cacheHierarchy uniqueName="[Range].[Sales Amount]" caption="Sales Amount" attribute="1" defaultMemberUniqueName="[Range].[Sales Amount].[All]" allUniqueName="[Range].[Sales Amount].[All]" dimensionUniqueName="[Range]" displayFolder="" count="2" memberValueDatatype="20" unbalanced="0"/>
    <cacheHierarchy uniqueName="[Range].[Discount]" caption="Discount" attribute="1" defaultMemberUniqueName="[Range].[Discount].[All]" allUniqueName="[Range].[Discount].[All]" dimensionUniqueName="[Range]" displayFolder="" count="2" memberValueDatatype="5" unbalanced="0"/>
    <cacheHierarchy uniqueName="[Table1].[Order_id]" caption="Order_id" attribute="1" defaultMemberUniqueName="[Table1].[Order_id].[All]" allUniqueName="[Table1].[Order_id].[All]" dimensionUniqueName="[Table1]" displayFolder="" count="2" memberValueDatatype="130" unbalanced="0"/>
    <cacheHierarchy uniqueName="[Table1].[Order_date]" caption="Order_date" attribute="1" time="1" defaultMemberUniqueName="[Table1].[Order_date].[All]" allUniqueName="[Table1].[Order_date].[All]" dimensionUniqueName="[Table1]" displayFolder="" count="2" memberValueDatatype="7" unbalanced="0"/>
    <cacheHierarchy uniqueName="[Table1].[Customer_id]" caption="Customer_id" attribute="1" defaultMemberUniqueName="[Table1].[Customer_id].[All]" allUniqueName="[Table1].[Customer_id].[All]" dimensionUniqueName="[Table1]" displayFolder="" count="2" memberValueDatatype="130" unbalanced="0"/>
    <cacheHierarchy uniqueName="[Table1].[Product_id]" caption="Product_id" attribute="1" defaultMemberUniqueName="[Table1].[Product_id].[All]" allUniqueName="[Table1].[Product_id].[All]" dimensionUniqueName="[Table1]" displayFolder="" count="2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2" memberValueDatatype="20" unbalanced="0"/>
    <cacheHierarchy uniqueName="[Table1].[Sales Amount]" caption="Sales Amount" attribute="1" defaultMemberUniqueName="[Table1].[Sales Amount].[All]" allUniqueName="[Table1].[Sales Amount].[All]" dimensionUniqueName="[Table1]" displayFolder="" count="2" memberValueDatatype="20" unbalanced="0"/>
    <cacheHierarchy uniqueName="[Table1].[Discount]" caption="Discount" attribute="1" defaultMemberUniqueName="[Table1].[Discount].[All]" allUniqueName="[Table1].[Discount].[All]" dimensionUniqueName="[Table1]" displayFolder="" count="2" memberValueDatatype="5" unbalanced="0"/>
    <cacheHierarchy uniqueName="[Table4].[Product_id]" caption="Product_id" attribute="1" defaultMemberUniqueName="[Table4].[Product_id].[All]" allUniqueName="[Table4].[Product_id].[All]" dimensionUniqueName="[Table4]" displayFolder="" count="2" memberValueDatatype="130" unbalanced="0"/>
    <cacheHierarchy uniqueName="[Table4].[Product Name]" caption="Product Name" attribute="1" defaultMemberUniqueName="[Table4].[Product Name].[All]" allUniqueName="[Table4].[Product Name].[All]" dimensionUniqueName="[Table4]" displayFolder="" count="2" memberValueDatatype="130" unbalanced="0"/>
    <cacheHierarchy uniqueName="[Table4].[Category]" caption="Category" attribute="1" defaultMemberUniqueName="[Table4].[Category].[All]" allUniqueName="[Table4].[Category].[All]" dimensionUniqueName="[Table4]" displayFolder="" count="2" memberValueDatatype="130" unbalanced="0">
      <fieldsUsage count="2">
        <fieldUsage x="-1"/>
        <fieldUsage x="0"/>
      </fieldsUsage>
    </cacheHierarchy>
    <cacheHierarchy uniqueName="[Table4].[Price]" caption="Price" attribute="1" defaultMemberUniqueName="[Table4].[Price].[All]" allUniqueName="[Table4].[Price].[All]" dimensionUniqueName="[Table4]" displayFolder="" count="2" memberValueDatatype="5" unbalanced="0"/>
    <cacheHierarchy uniqueName="[Measures].[__XL_Count Table4]" caption="__XL_Count Table4" measure="1" displayFolder="" measureGroup="Table4" count="0" hidden="1"/>
    <cacheHierarchy uniqueName="[Measures].[__XL_Count Table1]" caption="__XL_Count Table1" measure="1" displayFolder="" measureGroup="Table1" count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 Amount 2]" caption="Sum of Sales Amount 2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4">
    <dimension measure="1" name="Measures" uniqueName="[Measures]" caption="Measures"/>
    <dimension name="Range" uniqueName="[Range]" caption="Range"/>
    <dimension name="Table1" uniqueName="[Table1]" caption="Table1"/>
    <dimension name="Table4" uniqueName="[Table4]" caption="Table4"/>
  </dimensions>
  <measureGroups count="3">
    <measureGroup name="Range" caption="Range"/>
    <measureGroup name="Table1" caption="Table1"/>
    <measureGroup name="Table4" caption="Table4"/>
  </measureGroups>
  <maps count="4">
    <map measureGroup="0" dimension="1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chin Tanwar" refreshedDate="46155.69394247685" backgroundQuery="1" createdVersion="8" refreshedVersion="8" minRefreshableVersion="3" recordCount="0" supportSubquery="1" supportAdvancedDrill="1" xr:uid="{99D0EDC6-7D0F-4ECF-BBFD-7214FCDAFEB0}">
  <cacheSource type="external" connectionId="1"/>
  <cacheFields count="2">
    <cacheField name="[Measures].[Sum of Sales Amount 2]" caption="Sum of Sales Amount 2" numFmtId="0" hierarchy="22" level="32767"/>
    <cacheField name="[Table4].[Product Name].[Product Name]" caption="Product Name" numFmtId="0" hierarchy="15" level="1">
      <sharedItems count="5">
        <s v="Phone Tripod"/>
        <s v="Smart Door Lock"/>
        <s v="Smartphone Case"/>
        <s v="Water Bottle"/>
        <s v="Wireless Earbuds"/>
      </sharedItems>
    </cacheField>
  </cacheFields>
  <cacheHierarchies count="23">
    <cacheHierarchy uniqueName="[Range].[Order_id]" caption="Order_id" attribute="1" defaultMemberUniqueName="[Range].[Order_id].[All]" allUniqueName="[Range].[Order_id].[All]" dimensionUniqueName="[Range]" displayFolder="" count="2" memberValueDatatype="130" unbalanced="0"/>
    <cacheHierarchy uniqueName="[Range].[Order_date]" caption="Order_date" attribute="1" time="1" defaultMemberUniqueName="[Range].[Order_date].[All]" allUniqueName="[Range].[Order_date].[All]" dimensionUniqueName="[Range]" displayFolder="" count="2" memberValueDatatype="7" unbalanced="0"/>
    <cacheHierarchy uniqueName="[Range].[Customer_id]" caption="Customer_id" attribute="1" defaultMemberUniqueName="[Range].[Customer_id].[All]" allUniqueName="[Range].[Customer_id].[All]" dimensionUniqueName="[Range]" displayFolder="" count="2" memberValueDatatype="130" unbalanced="0"/>
    <cacheHierarchy uniqueName="[Range].[Product_id]" caption="Product_id" attribute="1" defaultMemberUniqueName="[Range].[Product_id].[All]" allUniqueName="[Range].[Product_id].[All]" dimensionUniqueName="[Range]" displayFolder="" count="2" memberValueDatatype="130" unbalanced="0"/>
    <cacheHierarchy uniqueName="[Range].[Quantity]" caption="Quantity" attribute="1" defaultMemberUniqueName="[Range].[Quantity].[All]" allUniqueName="[Range].[Quantity].[All]" dimensionUniqueName="[Range]" displayFolder="" count="2" memberValueDatatype="20" unbalanced="0"/>
    <cacheHierarchy uniqueName="[Range].[Sales Amount]" caption="Sales Amount" attribute="1" defaultMemberUniqueName="[Range].[Sales Amount].[All]" allUniqueName="[Range].[Sales Amount].[All]" dimensionUniqueName="[Range]" displayFolder="" count="2" memberValueDatatype="20" unbalanced="0"/>
    <cacheHierarchy uniqueName="[Range].[Discount]" caption="Discount" attribute="1" defaultMemberUniqueName="[Range].[Discount].[All]" allUniqueName="[Range].[Discount].[All]" dimensionUniqueName="[Range]" displayFolder="" count="2" memberValueDatatype="5" unbalanced="0"/>
    <cacheHierarchy uniqueName="[Table1].[Order_id]" caption="Order_id" attribute="1" defaultMemberUniqueName="[Table1].[Order_id].[All]" allUniqueName="[Table1].[Order_id].[All]" dimensionUniqueName="[Table1]" displayFolder="" count="2" memberValueDatatype="130" unbalanced="0"/>
    <cacheHierarchy uniqueName="[Table1].[Order_date]" caption="Order_date" attribute="1" time="1" defaultMemberUniqueName="[Table1].[Order_date].[All]" allUniqueName="[Table1].[Order_date].[All]" dimensionUniqueName="[Table1]" displayFolder="" count="2" memberValueDatatype="7" unbalanced="0"/>
    <cacheHierarchy uniqueName="[Table1].[Customer_id]" caption="Customer_id" attribute="1" defaultMemberUniqueName="[Table1].[Customer_id].[All]" allUniqueName="[Table1].[Customer_id].[All]" dimensionUniqueName="[Table1]" displayFolder="" count="2" memberValueDatatype="130" unbalanced="0"/>
    <cacheHierarchy uniqueName="[Table1].[Product_id]" caption="Product_id" attribute="1" defaultMemberUniqueName="[Table1].[Product_id].[All]" allUniqueName="[Table1].[Product_id].[All]" dimensionUniqueName="[Table1]" displayFolder="" count="2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2" memberValueDatatype="20" unbalanced="0"/>
    <cacheHierarchy uniqueName="[Table1].[Sales Amount]" caption="Sales Amount" attribute="1" defaultMemberUniqueName="[Table1].[Sales Amount].[All]" allUniqueName="[Table1].[Sales Amount].[All]" dimensionUniqueName="[Table1]" displayFolder="" count="2" memberValueDatatype="20" unbalanced="0"/>
    <cacheHierarchy uniqueName="[Table1].[Discount]" caption="Discount" attribute="1" defaultMemberUniqueName="[Table1].[Discount].[All]" allUniqueName="[Table1].[Discount].[All]" dimensionUniqueName="[Table1]" displayFolder="" count="2" memberValueDatatype="5" unbalanced="0"/>
    <cacheHierarchy uniqueName="[Table4].[Product_id]" caption="Product_id" attribute="1" defaultMemberUniqueName="[Table4].[Product_id].[All]" allUniqueName="[Table4].[Product_id].[All]" dimensionUniqueName="[Table4]" displayFolder="" count="2" memberValueDatatype="130" unbalanced="0"/>
    <cacheHierarchy uniqueName="[Table4].[Product Name]" caption="Product Name" attribute="1" defaultMemberUniqueName="[Table4].[Product Name].[All]" allUniqueName="[Table4].[Product Name].[All]" dimensionUniqueName="[Table4]" displayFolder="" count="2" memberValueDatatype="130" unbalanced="0">
      <fieldsUsage count="2">
        <fieldUsage x="-1"/>
        <fieldUsage x="1"/>
      </fieldsUsage>
    </cacheHierarchy>
    <cacheHierarchy uniqueName="[Table4].[Category]" caption="Category" attribute="1" defaultMemberUniqueName="[Table4].[Category].[All]" allUniqueName="[Table4].[Category].[All]" dimensionUniqueName="[Table4]" displayFolder="" count="2" memberValueDatatype="130" unbalanced="0"/>
    <cacheHierarchy uniqueName="[Table4].[Price]" caption="Price" attribute="1" defaultMemberUniqueName="[Table4].[Price].[All]" allUniqueName="[Table4].[Price].[All]" dimensionUniqueName="[Table4]" displayFolder="" count="2" memberValueDatatype="5" unbalanced="0"/>
    <cacheHierarchy uniqueName="[Measures].[__XL_Count Table4]" caption="__XL_Count Table4" measure="1" displayFolder="" measureGroup="Table4" count="0" hidden="1"/>
    <cacheHierarchy uniqueName="[Measures].[__XL_Count Table1]" caption="__XL_Count Table1" measure="1" displayFolder="" measureGroup="Table1" count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 Amount 2]" caption="Sum of Sales Amount 2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4">
    <dimension measure="1" name="Measures" uniqueName="[Measures]" caption="Measures"/>
    <dimension name="Range" uniqueName="[Range]" caption="Range"/>
    <dimension name="Table1" uniqueName="[Table1]" caption="Table1"/>
    <dimension name="Table4" uniqueName="[Table4]" caption="Table4"/>
  </dimensions>
  <measureGroups count="3">
    <measureGroup name="Range" caption="Range"/>
    <measureGroup name="Table1" caption="Table1"/>
    <measureGroup name="Table4" caption="Table4"/>
  </measureGroups>
  <maps count="4">
    <map measureGroup="0" dimension="1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Ord0001"/>
    <x v="0"/>
    <x v="0"/>
    <x v="0"/>
    <n v="7"/>
    <n v="6298"/>
    <n v="0.19"/>
  </r>
  <r>
    <s v="Ord0002"/>
    <x v="0"/>
    <x v="1"/>
    <x v="1"/>
    <n v="2"/>
    <n v="8799"/>
    <n v="0.12"/>
  </r>
  <r>
    <s v="Ord0003"/>
    <x v="0"/>
    <x v="2"/>
    <x v="2"/>
    <n v="8"/>
    <n v="5391"/>
    <n v="0.2"/>
  </r>
  <r>
    <s v="Ord0004"/>
    <x v="1"/>
    <x v="3"/>
    <x v="3"/>
    <n v="6"/>
    <n v="3610"/>
    <n v="0.1"/>
  </r>
  <r>
    <s v="Ord0005"/>
    <x v="2"/>
    <x v="4"/>
    <x v="4"/>
    <n v="3"/>
    <n v="2949"/>
    <n v="0.14000000000000001"/>
  </r>
  <r>
    <s v="Ord0006"/>
    <x v="2"/>
    <x v="5"/>
    <x v="5"/>
    <n v="10"/>
    <n v="9126"/>
    <n v="0.11"/>
  </r>
  <r>
    <s v="Ord0007"/>
    <x v="3"/>
    <x v="6"/>
    <x v="6"/>
    <n v="3"/>
    <n v="5029"/>
    <n v="0.12"/>
  </r>
  <r>
    <s v="Ord0008"/>
    <x v="4"/>
    <x v="7"/>
    <x v="7"/>
    <n v="9"/>
    <n v="2913"/>
    <n v="0.1"/>
  </r>
  <r>
    <s v="Ord0009"/>
    <x v="5"/>
    <x v="8"/>
    <x v="8"/>
    <n v="3"/>
    <n v="7457"/>
    <n v="0.16"/>
  </r>
  <r>
    <s v="Ord0010"/>
    <x v="5"/>
    <x v="9"/>
    <x v="9"/>
    <n v="9"/>
    <n v="6144"/>
    <n v="0.17"/>
  </r>
  <r>
    <s v="Ord0011"/>
    <x v="6"/>
    <x v="10"/>
    <x v="10"/>
    <n v="4"/>
    <n v="9185"/>
    <n v="0.15"/>
  </r>
  <r>
    <s v="Ord0012"/>
    <x v="7"/>
    <x v="11"/>
    <x v="11"/>
    <n v="7"/>
    <n v="2510"/>
    <n v="0.14000000000000001"/>
  </r>
  <r>
    <s v="Ord0013"/>
    <x v="8"/>
    <x v="12"/>
    <x v="12"/>
    <n v="2"/>
    <n v="1446"/>
    <n v="0.16"/>
  </r>
  <r>
    <s v="Ord0014"/>
    <x v="9"/>
    <x v="13"/>
    <x v="13"/>
    <n v="6"/>
    <n v="5555"/>
    <n v="0.16"/>
  </r>
  <r>
    <s v="Ord0015"/>
    <x v="10"/>
    <x v="14"/>
    <x v="14"/>
    <n v="2"/>
    <n v="2838"/>
    <n v="0.17"/>
  </r>
  <r>
    <s v="Ord0016"/>
    <x v="11"/>
    <x v="15"/>
    <x v="15"/>
    <n v="5"/>
    <n v="9887"/>
    <n v="0.1"/>
  </r>
  <r>
    <s v="Ord0017"/>
    <x v="12"/>
    <x v="16"/>
    <x v="16"/>
    <n v="3"/>
    <n v="6996"/>
    <n v="0.19"/>
  </r>
  <r>
    <s v="Ord0018"/>
    <x v="13"/>
    <x v="17"/>
    <x v="17"/>
    <n v="7"/>
    <n v="6741"/>
    <n v="0.12"/>
  </r>
  <r>
    <s v="Ord0019"/>
    <x v="14"/>
    <x v="18"/>
    <x v="18"/>
    <n v="1"/>
    <n v="8918"/>
    <n v="0.18"/>
  </r>
  <r>
    <s v="Ord0020"/>
    <x v="15"/>
    <x v="19"/>
    <x v="19"/>
    <n v="3"/>
    <n v="6716"/>
    <n v="0.11"/>
  </r>
  <r>
    <s v="Ord0021"/>
    <x v="16"/>
    <x v="20"/>
    <x v="20"/>
    <n v="3"/>
    <n v="1940"/>
    <n v="0.15"/>
  </r>
  <r>
    <s v="Ord0022"/>
    <x v="17"/>
    <x v="21"/>
    <x v="21"/>
    <n v="5"/>
    <n v="4796"/>
    <n v="0.2"/>
  </r>
  <r>
    <s v="Ord0023"/>
    <x v="18"/>
    <x v="22"/>
    <x v="22"/>
    <n v="10"/>
    <n v="1417"/>
    <n v="0.16"/>
  </r>
  <r>
    <s v="Ord0024"/>
    <x v="19"/>
    <x v="23"/>
    <x v="23"/>
    <n v="6"/>
    <n v="8288"/>
    <n v="0.15"/>
  </r>
  <r>
    <s v="Ord0025"/>
    <x v="20"/>
    <x v="24"/>
    <x v="24"/>
    <n v="3"/>
    <n v="3269"/>
    <n v="0.2"/>
  </r>
  <r>
    <s v="Ord0026"/>
    <x v="21"/>
    <x v="25"/>
    <x v="25"/>
    <n v="3"/>
    <n v="5789"/>
    <n v="0.13"/>
  </r>
  <r>
    <s v="Ord0027"/>
    <x v="22"/>
    <x v="26"/>
    <x v="26"/>
    <n v="9"/>
    <n v="4323"/>
    <n v="0.19"/>
  </r>
  <r>
    <s v="Ord0028"/>
    <x v="23"/>
    <x v="27"/>
    <x v="27"/>
    <n v="4"/>
    <n v="2814"/>
    <n v="0.2"/>
  </r>
  <r>
    <s v="Ord0029"/>
    <x v="24"/>
    <x v="28"/>
    <x v="28"/>
    <n v="3"/>
    <n v="1360"/>
    <n v="0.15"/>
  </r>
  <r>
    <s v="Ord0030"/>
    <x v="25"/>
    <x v="29"/>
    <x v="29"/>
    <n v="1"/>
    <n v="9969"/>
    <n v="0.13"/>
  </r>
  <r>
    <s v="Ord0031"/>
    <x v="26"/>
    <x v="30"/>
    <x v="30"/>
    <n v="4"/>
    <n v="6098"/>
    <n v="0.13"/>
  </r>
  <r>
    <s v="Ord0032"/>
    <x v="27"/>
    <x v="31"/>
    <x v="31"/>
    <n v="10"/>
    <n v="1702"/>
    <n v="0.14000000000000001"/>
  </r>
  <r>
    <s v="Ord0033"/>
    <x v="28"/>
    <x v="32"/>
    <x v="32"/>
    <n v="8"/>
    <n v="6578"/>
    <n v="0.1"/>
  </r>
  <r>
    <s v="Ord0034"/>
    <x v="29"/>
    <x v="33"/>
    <x v="33"/>
    <n v="10"/>
    <n v="4855"/>
    <n v="0.19"/>
  </r>
  <r>
    <s v="Ord0035"/>
    <x v="30"/>
    <x v="34"/>
    <x v="34"/>
    <n v="9"/>
    <n v="8568"/>
    <n v="0.2"/>
  </r>
  <r>
    <s v="Ord0036"/>
    <x v="31"/>
    <x v="35"/>
    <x v="35"/>
    <n v="6"/>
    <n v="5455"/>
    <n v="0.16"/>
  </r>
  <r>
    <s v="Ord0037"/>
    <x v="32"/>
    <x v="36"/>
    <x v="36"/>
    <n v="1"/>
    <n v="3735"/>
    <n v="0.12"/>
  </r>
  <r>
    <s v="Ord0038"/>
    <x v="33"/>
    <x v="37"/>
    <x v="37"/>
    <n v="6"/>
    <n v="8297"/>
    <n v="0.13"/>
  </r>
  <r>
    <s v="Ord0039"/>
    <x v="34"/>
    <x v="38"/>
    <x v="38"/>
    <n v="6"/>
    <n v="8741"/>
    <n v="0.17"/>
  </r>
  <r>
    <s v="Ord0040"/>
    <x v="35"/>
    <x v="39"/>
    <x v="39"/>
    <n v="2"/>
    <n v="7381"/>
    <n v="0.17"/>
  </r>
  <r>
    <s v="Ord0041"/>
    <x v="36"/>
    <x v="40"/>
    <x v="40"/>
    <n v="4"/>
    <n v="3460"/>
    <n v="0.11"/>
  </r>
  <r>
    <s v="Ord0042"/>
    <x v="37"/>
    <x v="41"/>
    <x v="41"/>
    <n v="7"/>
    <n v="8259"/>
    <n v="0.13"/>
  </r>
  <r>
    <s v="Ord0043"/>
    <x v="38"/>
    <x v="42"/>
    <x v="42"/>
    <n v="1"/>
    <n v="8131"/>
    <n v="0.1"/>
  </r>
  <r>
    <s v="Ord0044"/>
    <x v="39"/>
    <x v="43"/>
    <x v="43"/>
    <n v="5"/>
    <n v="2982"/>
    <n v="0.18"/>
  </r>
  <r>
    <s v="Ord0045"/>
    <x v="40"/>
    <x v="44"/>
    <x v="44"/>
    <n v="5"/>
    <n v="1811"/>
    <n v="0.2"/>
  </r>
  <r>
    <s v="Ord0046"/>
    <x v="41"/>
    <x v="45"/>
    <x v="45"/>
    <n v="2"/>
    <n v="3163"/>
    <n v="0.14000000000000001"/>
  </r>
  <r>
    <s v="Ord0047"/>
    <x v="42"/>
    <x v="46"/>
    <x v="46"/>
    <n v="6"/>
    <n v="9435"/>
    <n v="0.2"/>
  </r>
  <r>
    <s v="Ord0048"/>
    <x v="42"/>
    <x v="47"/>
    <x v="47"/>
    <n v="10"/>
    <n v="3917"/>
    <n v="0.18"/>
  </r>
  <r>
    <s v="Ord0049"/>
    <x v="43"/>
    <x v="48"/>
    <x v="48"/>
    <n v="1"/>
    <n v="6659"/>
    <n v="0.18"/>
  </r>
  <r>
    <s v="Ord0050"/>
    <x v="44"/>
    <x v="49"/>
    <x v="49"/>
    <n v="9"/>
    <n v="2975"/>
    <n v="0.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2902EA-4B7B-4235-A272-DCBC32BC1C65}" name="PivotTable4" cacheId="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B14:C27" firstHeaderRow="1" firstDataRow="1" firstDataCol="1"/>
  <pivotFields count="9">
    <pivotField showAll="0"/>
    <pivotField numFmtId="14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showAll="0"/>
    <pivotField dataField="1" numFmtId="168" showAll="0"/>
    <pivotField numFmtId="9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 Amount" fld="5" baseField="0" baseItem="0"/>
  </dataFields>
  <formats count="6">
    <format dxfId="12">
      <pivotArea type="all" dataOnly="0" outline="0" fieldPosition="0"/>
    </format>
    <format dxfId="5">
      <pivotArea outline="0" collapsedLevelsAreSubtotals="1" fieldPosition="0"/>
    </format>
    <format dxfId="4">
      <pivotArea field="8" type="button" dataOnly="0" labelOnly="1" outline="0" axis="axisRow" fieldPosition="0"/>
    </format>
    <format dxfId="3">
      <pivotArea dataOnly="0" labelOnly="1" fieldPosition="0">
        <references count="1">
          <reference field="8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7C4C19-D828-4FED-A008-1F37F0193FF2}" name="PivotTable8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D9:E15" firstHeaderRow="1" firstDataRow="1" firstDataCol="1"/>
  <pivotFields count="2">
    <pivotField dataField="1" subtotalTop="0" showAll="0" defaultSubtotal="0"/>
    <pivotField axis="axisRow"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6">
    <i>
      <x/>
    </i>
    <i>
      <x v="4"/>
    </i>
    <i>
      <x v="1"/>
    </i>
    <i>
      <x v="3"/>
    </i>
    <i>
      <x v="2"/>
    </i>
    <i t="grand">
      <x/>
    </i>
  </rowItems>
  <colItems count="1">
    <i/>
  </colItems>
  <dataFields count="1">
    <dataField name="Sum of Sales Amount" fld="0" baseField="0" baseItem="0"/>
  </dataFields>
  <chartFormats count="2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1" iMeasureHier="22">
      <autoFilter ref="A1">
        <filterColumn colId="0">
          <top10 val="5" filterVal="5"/>
        </filterColumn>
      </autoFilter>
    </filter>
  </filters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Table1]"/>
        <x15:activeTabTopLevelEntity name="[Table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585D57-0820-421D-888F-995ACF2CF34A}" name="PivotTable6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B20" firstHeaderRow="1" firstDataRow="1" firstDataCol="1"/>
  <pivotFields count="2">
    <pivotField axis="axisRow" allDrilled="1" subtotalTop="0" showAll="0" dataSourceSort="1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dataField="1" subtotalTop="0" showAll="0" defaultSubtota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Sales Amount" fld="1" baseField="0" baseItem="0"/>
  </dataFields>
  <chartFormats count="18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6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6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6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6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6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6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6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6" format="27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6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6" format="29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6" format="30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6" format="3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16" format="32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16" format="33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16" format="34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4]"/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C70ABB-949B-41C1-BE27-9F8C7147F477}" name="Table1" displayName="Table1" ref="A1:G51" totalsRowShown="0" headerRowDxfId="32">
  <autoFilter ref="A1:G51" xr:uid="{DEC70ABB-949B-41C1-BE27-9F8C7147F477}"/>
  <tableColumns count="7">
    <tableColumn id="1" xr3:uid="{AA4A6558-F88F-4048-B467-2F089896FFA6}" name="Order_id"/>
    <tableColumn id="2" xr3:uid="{3D959C1E-FE27-4C7C-8293-D51FE44D696B}" name="Order_date" dataDxfId="35"/>
    <tableColumn id="3" xr3:uid="{7DC35010-7C8E-42CE-BEEF-7FC665E2C387}" name="Customer_id "/>
    <tableColumn id="4" xr3:uid="{DF98AC93-6FCE-4F03-BB89-8A3DAE0AA552}" name="Product_id"/>
    <tableColumn id="5" xr3:uid="{8DBE65E8-001D-4C8F-9F3E-44E2A9C4A1FA}" name="Quantity"/>
    <tableColumn id="6" xr3:uid="{DFAB78D0-4724-4F6E-B7DE-497D1FDE9DA7}" name="Sales Amount" dataDxfId="34"/>
    <tableColumn id="7" xr3:uid="{8D0C8B72-E138-43A5-A223-2EB505BB139A}" name="Discount" dataDxfId="3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6BA71A-16F2-46F5-8092-DEF96621BF57}" name="Table3" displayName="Table3" ref="A1:C51" totalsRowShown="0" headerRowDxfId="31">
  <autoFilter ref="A1:C51" xr:uid="{976BA71A-16F2-46F5-8092-DEF96621BF57}"/>
  <tableColumns count="3">
    <tableColumn id="1" xr3:uid="{0BA73419-519A-4B7E-9140-AF56414636A0}" name="Customer_id "/>
    <tableColumn id="2" xr3:uid="{7110D3D4-C922-4716-A193-BED85EF9FCB1}" name="Customer_name"/>
    <tableColumn id="3" xr3:uid="{ED75E827-5037-4111-9D9F-746E9630C8EF}" name="Cit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5CCEC23-B1E6-4101-91DB-866A09DCF6E1}" name="Table4" displayName="Table4" ref="A1:D51" totalsRowShown="0" headerRowDxfId="29">
  <autoFilter ref="A1:D51" xr:uid="{D5CCEC23-B1E6-4101-91DB-866A09DCF6E1}"/>
  <tableColumns count="4">
    <tableColumn id="1" xr3:uid="{35308891-18C1-4883-80BA-61B702AF85A7}" name="Product_id"/>
    <tableColumn id="2" xr3:uid="{2B8EFC65-5593-483E-8A7C-D0C3BA111B5F}" name="Product Name"/>
    <tableColumn id="3" xr3:uid="{CB8FB864-72D6-4B68-BD3E-6B3E9C46F33E}" name="Category" dataDxfId="30"/>
    <tableColumn id="4" xr3:uid="{01CA5034-2322-4670-B784-69BD56AD3AD8}" name="Price" dataDxfId="28">
      <calculatedColumnFormula>Sales!F2/Sales!E2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F1A7C-BEA9-40FA-9D35-F893E7C51FDB}">
  <dimension ref="A1:V27"/>
  <sheetViews>
    <sheetView showGridLines="0" tabSelected="1" zoomScale="80" workbookViewId="0">
      <selection activeCell="U11" sqref="U11"/>
    </sheetView>
  </sheetViews>
  <sheetFormatPr defaultRowHeight="14.5" x14ac:dyDescent="0.35"/>
  <cols>
    <col min="1" max="1" width="8.7265625" style="18"/>
    <col min="2" max="2" width="13" style="17" bestFit="1" customWidth="1"/>
    <col min="3" max="3" width="19.08984375" style="17" bestFit="1" customWidth="1"/>
    <col min="4" max="5" width="8.7265625" style="17"/>
    <col min="6" max="6" width="8.7265625" style="16"/>
    <col min="7" max="22" width="8.7265625" style="17"/>
  </cols>
  <sheetData>
    <row r="1" spans="1:22" s="11" customFormat="1" ht="14.5" customHeight="1" x14ac:dyDescent="0.35">
      <c r="A1" s="22" t="s">
        <v>301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</row>
    <row r="2" spans="1:22" s="11" customFormat="1" ht="14.5" customHeight="1" x14ac:dyDescent="0.3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</row>
    <row r="3" spans="1:22" s="11" customFormat="1" ht="14.5" customHeight="1" x14ac:dyDescent="0.3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</row>
    <row r="4" spans="1:22" s="11" customFormat="1" ht="14.5" customHeight="1" x14ac:dyDescent="0.35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</row>
    <row r="5" spans="1:22" s="11" customFormat="1" ht="14.5" customHeight="1" x14ac:dyDescent="1.1000000000000001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</row>
    <row r="6" spans="1:22" ht="31" x14ac:dyDescent="0.7">
      <c r="B6" s="25" t="s">
        <v>317</v>
      </c>
      <c r="C6" s="26"/>
      <c r="D6" s="26"/>
      <c r="E6" s="26"/>
      <c r="G6" s="28" t="s">
        <v>298</v>
      </c>
      <c r="H6" s="29"/>
      <c r="I6" s="29"/>
      <c r="J6" s="29"/>
      <c r="L6" s="28" t="s">
        <v>299</v>
      </c>
      <c r="M6" s="29"/>
      <c r="N6" s="29"/>
      <c r="O6" s="29"/>
      <c r="Q6" s="28" t="s">
        <v>300</v>
      </c>
      <c r="R6" s="29"/>
      <c r="S6" s="29"/>
      <c r="T6" s="29"/>
    </row>
    <row r="7" spans="1:22" x14ac:dyDescent="0.35">
      <c r="B7" s="24">
        <f>SUM(Sales!F2:F51)</f>
        <v>274675</v>
      </c>
      <c r="C7" s="24"/>
      <c r="D7" s="24"/>
      <c r="E7" s="24"/>
      <c r="G7" s="27">
        <f>COUNTA(Sales!A2:A51)</f>
        <v>50</v>
      </c>
      <c r="H7" s="27"/>
      <c r="I7" s="27"/>
      <c r="J7" s="27"/>
      <c r="L7" s="27">
        <f>SUM(Sales!E2:E51)</f>
        <v>259</v>
      </c>
      <c r="M7" s="27"/>
      <c r="N7" s="27"/>
      <c r="O7" s="27"/>
      <c r="Q7" s="30">
        <f>AVERAGE(Sales!G2:G51)</f>
        <v>0.15279999999999999</v>
      </c>
      <c r="R7" s="27"/>
      <c r="S7" s="27"/>
      <c r="T7" s="27"/>
    </row>
    <row r="8" spans="1:22" x14ac:dyDescent="0.35">
      <c r="B8" s="24"/>
      <c r="C8" s="24"/>
      <c r="D8" s="24"/>
      <c r="E8" s="24"/>
      <c r="G8" s="27"/>
      <c r="H8" s="27"/>
      <c r="I8" s="27"/>
      <c r="J8" s="27"/>
      <c r="L8" s="27"/>
      <c r="M8" s="27"/>
      <c r="N8" s="27"/>
      <c r="O8" s="27"/>
      <c r="Q8" s="27"/>
      <c r="R8" s="27"/>
      <c r="S8" s="27"/>
      <c r="T8" s="27"/>
    </row>
    <row r="9" spans="1:22" x14ac:dyDescent="0.35">
      <c r="B9" s="24"/>
      <c r="C9" s="24"/>
      <c r="D9" s="24"/>
      <c r="E9" s="24"/>
      <c r="G9" s="27"/>
      <c r="H9" s="27"/>
      <c r="I9" s="27"/>
      <c r="J9" s="27"/>
      <c r="L9" s="27"/>
      <c r="M9" s="27"/>
      <c r="N9" s="27"/>
      <c r="O9" s="27"/>
      <c r="Q9" s="27"/>
      <c r="R9" s="27"/>
      <c r="S9" s="27"/>
      <c r="T9" s="27"/>
    </row>
    <row r="10" spans="1:22" x14ac:dyDescent="0.35">
      <c r="B10" s="24"/>
      <c r="C10" s="24"/>
      <c r="D10" s="24"/>
      <c r="E10" s="24"/>
      <c r="G10" s="27"/>
      <c r="H10" s="27"/>
      <c r="I10" s="27"/>
      <c r="J10" s="27"/>
      <c r="L10" s="27"/>
      <c r="M10" s="27"/>
      <c r="N10" s="27"/>
      <c r="O10" s="27"/>
      <c r="Q10" s="27"/>
      <c r="R10" s="27"/>
      <c r="S10" s="27"/>
      <c r="T10" s="27"/>
    </row>
    <row r="14" spans="1:22" x14ac:dyDescent="0.35">
      <c r="B14" s="19" t="s">
        <v>303</v>
      </c>
      <c r="C14" s="17" t="s">
        <v>302</v>
      </c>
    </row>
    <row r="15" spans="1:22" x14ac:dyDescent="0.35">
      <c r="B15" s="20" t="s">
        <v>305</v>
      </c>
      <c r="C15" s="21">
        <v>41202</v>
      </c>
    </row>
    <row r="16" spans="1:22" x14ac:dyDescent="0.35">
      <c r="B16" s="20" t="s">
        <v>306</v>
      </c>
      <c r="C16" s="21">
        <v>16514</v>
      </c>
    </row>
    <row r="17" spans="2:3" x14ac:dyDescent="0.35">
      <c r="B17" s="20" t="s">
        <v>307</v>
      </c>
      <c r="C17" s="21">
        <v>13141</v>
      </c>
    </row>
    <row r="18" spans="2:3" x14ac:dyDescent="0.35">
      <c r="B18" s="20" t="s">
        <v>308</v>
      </c>
      <c r="C18" s="21">
        <v>18280</v>
      </c>
    </row>
    <row r="19" spans="2:3" x14ac:dyDescent="0.35">
      <c r="B19" s="20" t="s">
        <v>309</v>
      </c>
      <c r="C19" s="21">
        <v>31311</v>
      </c>
    </row>
    <row r="20" spans="2:3" x14ac:dyDescent="0.35">
      <c r="B20" s="20" t="s">
        <v>310</v>
      </c>
      <c r="C20" s="21">
        <v>17770</v>
      </c>
    </row>
    <row r="21" spans="2:3" x14ac:dyDescent="0.35">
      <c r="B21" s="20" t="s">
        <v>311</v>
      </c>
      <c r="C21" s="21">
        <v>14286</v>
      </c>
    </row>
    <row r="22" spans="2:3" x14ac:dyDescent="0.35">
      <c r="B22" s="20" t="s">
        <v>312</v>
      </c>
      <c r="C22" s="21">
        <v>24347</v>
      </c>
    </row>
    <row r="23" spans="2:3" x14ac:dyDescent="0.35">
      <c r="B23" s="20" t="s">
        <v>313</v>
      </c>
      <c r="C23" s="21">
        <v>30910</v>
      </c>
    </row>
    <row r="24" spans="2:3" x14ac:dyDescent="0.35">
      <c r="B24" s="20" t="s">
        <v>314</v>
      </c>
      <c r="C24" s="21">
        <v>35972</v>
      </c>
    </row>
    <row r="25" spans="2:3" x14ac:dyDescent="0.35">
      <c r="B25" s="20" t="s">
        <v>315</v>
      </c>
      <c r="C25" s="21">
        <v>7956</v>
      </c>
    </row>
    <row r="26" spans="2:3" x14ac:dyDescent="0.35">
      <c r="B26" s="20" t="s">
        <v>316</v>
      </c>
      <c r="C26" s="21">
        <v>22986</v>
      </c>
    </row>
    <row r="27" spans="2:3" x14ac:dyDescent="0.35">
      <c r="B27" s="20" t="s">
        <v>304</v>
      </c>
      <c r="C27" s="21">
        <v>274675</v>
      </c>
    </row>
  </sheetData>
  <mergeCells count="9">
    <mergeCell ref="L7:O10"/>
    <mergeCell ref="L6:O6"/>
    <mergeCell ref="Q7:T10"/>
    <mergeCell ref="Q6:T6"/>
    <mergeCell ref="B7:E10"/>
    <mergeCell ref="B6:E6"/>
    <mergeCell ref="G7:J10"/>
    <mergeCell ref="G6:J6"/>
    <mergeCell ref="A1:V4"/>
  </mergeCell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88C44-EE7C-4C1A-A297-D5359D2643F6}">
  <dimension ref="A1:I53"/>
  <sheetViews>
    <sheetView zoomScale="119" workbookViewId="0">
      <selection activeCell="I9" sqref="I9"/>
    </sheetView>
  </sheetViews>
  <sheetFormatPr defaultRowHeight="14.5" x14ac:dyDescent="0.35"/>
  <cols>
    <col min="1" max="1" width="10.90625" customWidth="1"/>
    <col min="2" max="2" width="13.36328125" customWidth="1"/>
    <col min="3" max="3" width="13.26953125" customWidth="1"/>
    <col min="4" max="4" width="11.26953125" customWidth="1"/>
    <col min="5" max="5" width="9.453125" customWidth="1"/>
    <col min="6" max="6" width="13.6328125" style="6" customWidth="1"/>
    <col min="7" max="7" width="9.81640625" style="3" customWidth="1"/>
    <col min="9" max="9" width="9.26953125" bestFit="1" customWidth="1"/>
    <col min="29" max="29" width="12" customWidth="1"/>
    <col min="31" max="31" width="14.816406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7" t="s">
        <v>6</v>
      </c>
      <c r="I1" s="1"/>
    </row>
    <row r="2" spans="1:9" x14ac:dyDescent="0.35">
      <c r="A2" t="s">
        <v>7</v>
      </c>
      <c r="B2" s="2">
        <v>46033</v>
      </c>
      <c r="C2" t="s">
        <v>57</v>
      </c>
      <c r="D2" t="s">
        <v>107</v>
      </c>
      <c r="E2">
        <v>7</v>
      </c>
      <c r="F2" s="6">
        <v>6298</v>
      </c>
      <c r="G2" s="3">
        <v>0.19</v>
      </c>
      <c r="H2" s="4"/>
      <c r="I2" s="9"/>
    </row>
    <row r="3" spans="1:9" x14ac:dyDescent="0.35">
      <c r="A3" t="s">
        <v>8</v>
      </c>
      <c r="B3" s="2">
        <v>46033</v>
      </c>
      <c r="C3" t="s">
        <v>58</v>
      </c>
      <c r="D3" t="s">
        <v>108</v>
      </c>
      <c r="E3">
        <v>2</v>
      </c>
      <c r="F3" s="6">
        <v>8799</v>
      </c>
      <c r="G3" s="3">
        <v>0.12</v>
      </c>
      <c r="I3" s="9"/>
    </row>
    <row r="4" spans="1:9" x14ac:dyDescent="0.35">
      <c r="A4" t="s">
        <v>9</v>
      </c>
      <c r="B4" s="2">
        <v>46033</v>
      </c>
      <c r="C4" t="s">
        <v>59</v>
      </c>
      <c r="D4" t="s">
        <v>109</v>
      </c>
      <c r="E4">
        <v>8</v>
      </c>
      <c r="F4" s="6">
        <v>5391</v>
      </c>
      <c r="G4" s="3">
        <v>0.2</v>
      </c>
      <c r="I4" s="9"/>
    </row>
    <row r="5" spans="1:9" x14ac:dyDescent="0.35">
      <c r="A5" t="s">
        <v>10</v>
      </c>
      <c r="B5" s="2">
        <v>46036</v>
      </c>
      <c r="C5" t="s">
        <v>60</v>
      </c>
      <c r="D5" t="s">
        <v>110</v>
      </c>
      <c r="E5">
        <v>6</v>
      </c>
      <c r="F5" s="6">
        <v>3610</v>
      </c>
      <c r="G5" s="3">
        <v>0.1</v>
      </c>
      <c r="I5" s="9"/>
    </row>
    <row r="6" spans="1:9" x14ac:dyDescent="0.35">
      <c r="A6" t="s">
        <v>11</v>
      </c>
      <c r="B6" s="2">
        <v>46041</v>
      </c>
      <c r="C6" t="s">
        <v>61</v>
      </c>
      <c r="D6" t="s">
        <v>111</v>
      </c>
      <c r="E6">
        <v>3</v>
      </c>
      <c r="F6" s="6">
        <v>2949</v>
      </c>
      <c r="G6" s="3">
        <v>0.14000000000000001</v>
      </c>
      <c r="I6" s="9"/>
    </row>
    <row r="7" spans="1:9" x14ac:dyDescent="0.35">
      <c r="A7" t="s">
        <v>12</v>
      </c>
      <c r="B7" s="2">
        <v>46041</v>
      </c>
      <c r="C7" t="s">
        <v>62</v>
      </c>
      <c r="D7" t="s">
        <v>112</v>
      </c>
      <c r="E7">
        <v>10</v>
      </c>
      <c r="F7" s="6">
        <v>9126</v>
      </c>
      <c r="G7" s="3">
        <v>0.11</v>
      </c>
      <c r="I7" s="9"/>
    </row>
    <row r="8" spans="1:9" x14ac:dyDescent="0.35">
      <c r="A8" t="s">
        <v>13</v>
      </c>
      <c r="B8" s="2">
        <v>46043</v>
      </c>
      <c r="C8" t="s">
        <v>63</v>
      </c>
      <c r="D8" t="s">
        <v>113</v>
      </c>
      <c r="E8">
        <v>3</v>
      </c>
      <c r="F8" s="6">
        <v>5029</v>
      </c>
      <c r="G8" s="3">
        <v>0.12</v>
      </c>
      <c r="I8" s="9"/>
    </row>
    <row r="9" spans="1:9" x14ac:dyDescent="0.35">
      <c r="A9" t="s">
        <v>14</v>
      </c>
      <c r="B9" s="2">
        <v>46060</v>
      </c>
      <c r="C9" t="s">
        <v>64</v>
      </c>
      <c r="D9" t="s">
        <v>114</v>
      </c>
      <c r="E9">
        <v>9</v>
      </c>
      <c r="F9" s="6">
        <v>2913</v>
      </c>
      <c r="G9" s="3">
        <v>0.1</v>
      </c>
      <c r="I9" s="9"/>
    </row>
    <row r="10" spans="1:9" x14ac:dyDescent="0.35">
      <c r="A10" t="s">
        <v>15</v>
      </c>
      <c r="B10" s="2">
        <v>46072</v>
      </c>
      <c r="C10" t="s">
        <v>65</v>
      </c>
      <c r="D10" t="s">
        <v>115</v>
      </c>
      <c r="E10">
        <v>3</v>
      </c>
      <c r="F10" s="6">
        <v>7457</v>
      </c>
      <c r="G10" s="3">
        <v>0.16</v>
      </c>
      <c r="I10" s="9"/>
    </row>
    <row r="11" spans="1:9" x14ac:dyDescent="0.35">
      <c r="A11" t="s">
        <v>16</v>
      </c>
      <c r="B11" s="2">
        <v>46072</v>
      </c>
      <c r="C11" t="s">
        <v>66</v>
      </c>
      <c r="D11" t="s">
        <v>116</v>
      </c>
      <c r="E11">
        <v>9</v>
      </c>
      <c r="F11" s="6">
        <v>6144</v>
      </c>
      <c r="G11" s="3">
        <v>0.17</v>
      </c>
      <c r="I11" s="9"/>
    </row>
    <row r="12" spans="1:9" x14ac:dyDescent="0.35">
      <c r="A12" t="s">
        <v>17</v>
      </c>
      <c r="B12" s="2">
        <v>46087</v>
      </c>
      <c r="C12" t="s">
        <v>67</v>
      </c>
      <c r="D12" t="s">
        <v>117</v>
      </c>
      <c r="E12">
        <v>4</v>
      </c>
      <c r="F12" s="6">
        <v>9185</v>
      </c>
      <c r="G12" s="3">
        <v>0.15</v>
      </c>
      <c r="I12" s="9"/>
    </row>
    <row r="13" spans="1:9" x14ac:dyDescent="0.35">
      <c r="A13" t="s">
        <v>18</v>
      </c>
      <c r="B13" s="2">
        <v>46098</v>
      </c>
      <c r="C13" t="s">
        <v>68</v>
      </c>
      <c r="D13" t="s">
        <v>118</v>
      </c>
      <c r="E13">
        <v>7</v>
      </c>
      <c r="F13" s="6">
        <v>2510</v>
      </c>
      <c r="G13" s="3">
        <v>0.14000000000000001</v>
      </c>
      <c r="I13" s="9"/>
    </row>
    <row r="14" spans="1:9" x14ac:dyDescent="0.35">
      <c r="A14" t="s">
        <v>19</v>
      </c>
      <c r="B14" s="2">
        <v>46111</v>
      </c>
      <c r="C14" t="s">
        <v>69</v>
      </c>
      <c r="D14" t="s">
        <v>119</v>
      </c>
      <c r="E14">
        <v>2</v>
      </c>
      <c r="F14" s="6">
        <v>1446</v>
      </c>
      <c r="G14" s="3">
        <v>0.16</v>
      </c>
      <c r="I14" s="9"/>
    </row>
    <row r="15" spans="1:9" x14ac:dyDescent="0.35">
      <c r="A15" t="s">
        <v>20</v>
      </c>
      <c r="B15" s="2">
        <v>46124</v>
      </c>
      <c r="C15" t="s">
        <v>70</v>
      </c>
      <c r="D15" t="s">
        <v>120</v>
      </c>
      <c r="E15">
        <v>6</v>
      </c>
      <c r="F15" s="6">
        <v>5555</v>
      </c>
      <c r="G15" s="3">
        <v>0.16</v>
      </c>
      <c r="I15" s="9"/>
    </row>
    <row r="16" spans="1:9" x14ac:dyDescent="0.35">
      <c r="A16" t="s">
        <v>21</v>
      </c>
      <c r="B16" s="2">
        <v>46127</v>
      </c>
      <c r="C16" t="s">
        <v>71</v>
      </c>
      <c r="D16" t="s">
        <v>121</v>
      </c>
      <c r="E16">
        <v>2</v>
      </c>
      <c r="F16" s="6">
        <v>2838</v>
      </c>
      <c r="G16" s="3">
        <v>0.17</v>
      </c>
      <c r="I16" s="9"/>
    </row>
    <row r="17" spans="1:9" x14ac:dyDescent="0.35">
      <c r="A17" t="s">
        <v>22</v>
      </c>
      <c r="B17" s="2">
        <v>46138</v>
      </c>
      <c r="C17" t="s">
        <v>72</v>
      </c>
      <c r="D17" t="s">
        <v>122</v>
      </c>
      <c r="E17">
        <v>5</v>
      </c>
      <c r="F17" s="6">
        <v>9887</v>
      </c>
      <c r="G17" s="3">
        <v>0.1</v>
      </c>
      <c r="I17" s="9"/>
    </row>
    <row r="18" spans="1:9" x14ac:dyDescent="0.35">
      <c r="A18" t="s">
        <v>23</v>
      </c>
      <c r="B18" s="2">
        <v>46143</v>
      </c>
      <c r="C18" t="s">
        <v>73</v>
      </c>
      <c r="D18" t="s">
        <v>123</v>
      </c>
      <c r="E18">
        <v>3</v>
      </c>
      <c r="F18" s="6">
        <v>6996</v>
      </c>
      <c r="G18" s="3">
        <v>0.19</v>
      </c>
      <c r="I18" s="9"/>
    </row>
    <row r="19" spans="1:9" x14ac:dyDescent="0.35">
      <c r="A19" t="s">
        <v>24</v>
      </c>
      <c r="B19" s="2">
        <v>46154</v>
      </c>
      <c r="C19" t="s">
        <v>74</v>
      </c>
      <c r="D19" t="s">
        <v>124</v>
      </c>
      <c r="E19">
        <v>7</v>
      </c>
      <c r="F19" s="6">
        <v>6741</v>
      </c>
      <c r="G19" s="3">
        <v>0.12</v>
      </c>
      <c r="I19" s="9"/>
    </row>
    <row r="20" spans="1:9" x14ac:dyDescent="0.35">
      <c r="A20" t="s">
        <v>25</v>
      </c>
      <c r="B20" s="2">
        <v>46155</v>
      </c>
      <c r="C20" t="s">
        <v>75</v>
      </c>
      <c r="D20" t="s">
        <v>125</v>
      </c>
      <c r="E20">
        <v>1</v>
      </c>
      <c r="F20" s="6">
        <v>8918</v>
      </c>
      <c r="G20" s="3">
        <v>0.18</v>
      </c>
      <c r="I20" s="9"/>
    </row>
    <row r="21" spans="1:9" x14ac:dyDescent="0.35">
      <c r="A21" t="s">
        <v>26</v>
      </c>
      <c r="B21" s="2">
        <v>46159</v>
      </c>
      <c r="C21" t="s">
        <v>76</v>
      </c>
      <c r="D21" t="s">
        <v>126</v>
      </c>
      <c r="E21">
        <v>3</v>
      </c>
      <c r="F21" s="6">
        <v>6716</v>
      </c>
      <c r="G21" s="3">
        <v>0.11</v>
      </c>
      <c r="I21" s="9"/>
    </row>
    <row r="22" spans="1:9" x14ac:dyDescent="0.35">
      <c r="A22" t="s">
        <v>27</v>
      </c>
      <c r="B22" s="2">
        <v>46164</v>
      </c>
      <c r="C22" t="s">
        <v>77</v>
      </c>
      <c r="D22" t="s">
        <v>127</v>
      </c>
      <c r="E22">
        <v>3</v>
      </c>
      <c r="F22" s="6">
        <v>1940</v>
      </c>
      <c r="G22" s="3">
        <v>0.15</v>
      </c>
      <c r="I22" s="9"/>
    </row>
    <row r="23" spans="1:9" x14ac:dyDescent="0.35">
      <c r="A23" t="s">
        <v>28</v>
      </c>
      <c r="B23" s="2">
        <v>46176</v>
      </c>
      <c r="C23" t="s">
        <v>78</v>
      </c>
      <c r="D23" t="s">
        <v>128</v>
      </c>
      <c r="E23">
        <v>5</v>
      </c>
      <c r="F23" s="6">
        <v>4796</v>
      </c>
      <c r="G23" s="3">
        <v>0.2</v>
      </c>
      <c r="I23" s="9"/>
    </row>
    <row r="24" spans="1:9" x14ac:dyDescent="0.35">
      <c r="A24" t="s">
        <v>29</v>
      </c>
      <c r="B24" s="2">
        <v>46181</v>
      </c>
      <c r="C24" t="s">
        <v>79</v>
      </c>
      <c r="D24" t="s">
        <v>129</v>
      </c>
      <c r="E24">
        <v>10</v>
      </c>
      <c r="F24" s="6">
        <v>1417</v>
      </c>
      <c r="G24" s="3">
        <v>0.16</v>
      </c>
      <c r="I24" s="9"/>
    </row>
    <row r="25" spans="1:9" x14ac:dyDescent="0.35">
      <c r="A25" t="s">
        <v>30</v>
      </c>
      <c r="B25" s="2">
        <v>46187</v>
      </c>
      <c r="C25" t="s">
        <v>80</v>
      </c>
      <c r="D25" t="s">
        <v>130</v>
      </c>
      <c r="E25">
        <v>6</v>
      </c>
      <c r="F25" s="6">
        <v>8288</v>
      </c>
      <c r="G25" s="3">
        <v>0.15</v>
      </c>
      <c r="I25" s="9"/>
    </row>
    <row r="26" spans="1:9" x14ac:dyDescent="0.35">
      <c r="A26" t="s">
        <v>31</v>
      </c>
      <c r="B26" s="2">
        <v>46198</v>
      </c>
      <c r="C26" t="s">
        <v>81</v>
      </c>
      <c r="D26" t="s">
        <v>131</v>
      </c>
      <c r="E26">
        <v>3</v>
      </c>
      <c r="F26" s="6">
        <v>3269</v>
      </c>
      <c r="G26" s="3">
        <v>0.2</v>
      </c>
      <c r="I26" s="9"/>
    </row>
    <row r="27" spans="1:9" x14ac:dyDescent="0.35">
      <c r="A27" t="s">
        <v>32</v>
      </c>
      <c r="B27" s="2">
        <v>46207</v>
      </c>
      <c r="C27" t="s">
        <v>82</v>
      </c>
      <c r="D27" t="s">
        <v>132</v>
      </c>
      <c r="E27">
        <v>3</v>
      </c>
      <c r="F27" s="6">
        <v>5789</v>
      </c>
      <c r="G27" s="3">
        <v>0.13</v>
      </c>
      <c r="I27" s="9"/>
    </row>
    <row r="28" spans="1:9" x14ac:dyDescent="0.35">
      <c r="A28" t="s">
        <v>33</v>
      </c>
      <c r="B28" s="2">
        <v>46209</v>
      </c>
      <c r="C28" t="s">
        <v>83</v>
      </c>
      <c r="D28" t="s">
        <v>133</v>
      </c>
      <c r="E28">
        <v>9</v>
      </c>
      <c r="F28" s="6">
        <v>4323</v>
      </c>
      <c r="G28" s="3">
        <v>0.19</v>
      </c>
      <c r="I28" s="9"/>
    </row>
    <row r="29" spans="1:9" x14ac:dyDescent="0.35">
      <c r="A29" t="s">
        <v>34</v>
      </c>
      <c r="B29" s="2">
        <v>46217</v>
      </c>
      <c r="C29" t="s">
        <v>84</v>
      </c>
      <c r="D29" t="s">
        <v>134</v>
      </c>
      <c r="E29">
        <v>4</v>
      </c>
      <c r="F29" s="6">
        <v>2814</v>
      </c>
      <c r="G29" s="3">
        <v>0.2</v>
      </c>
      <c r="I29" s="9"/>
    </row>
    <row r="30" spans="1:9" x14ac:dyDescent="0.35">
      <c r="A30" t="s">
        <v>35</v>
      </c>
      <c r="B30" s="2">
        <v>46226</v>
      </c>
      <c r="C30" t="s">
        <v>85</v>
      </c>
      <c r="D30" t="s">
        <v>135</v>
      </c>
      <c r="E30">
        <v>3</v>
      </c>
      <c r="F30" s="6">
        <v>1360</v>
      </c>
      <c r="G30" s="3">
        <v>0.15</v>
      </c>
      <c r="I30" s="9"/>
    </row>
    <row r="31" spans="1:9" x14ac:dyDescent="0.35">
      <c r="A31" t="s">
        <v>36</v>
      </c>
      <c r="B31" s="2">
        <v>46235</v>
      </c>
      <c r="C31" t="s">
        <v>86</v>
      </c>
      <c r="D31" t="s">
        <v>136</v>
      </c>
      <c r="E31">
        <v>1</v>
      </c>
      <c r="F31" s="6">
        <v>9969</v>
      </c>
      <c r="G31" s="3">
        <v>0.13</v>
      </c>
      <c r="I31" s="9"/>
    </row>
    <row r="32" spans="1:9" x14ac:dyDescent="0.35">
      <c r="A32" t="s">
        <v>37</v>
      </c>
      <c r="B32" s="2">
        <v>46245</v>
      </c>
      <c r="C32" t="s">
        <v>87</v>
      </c>
      <c r="D32" t="s">
        <v>137</v>
      </c>
      <c r="E32">
        <v>4</v>
      </c>
      <c r="F32" s="6">
        <v>6098</v>
      </c>
      <c r="G32" s="3">
        <v>0.13</v>
      </c>
      <c r="I32" s="9"/>
    </row>
    <row r="33" spans="1:9" x14ac:dyDescent="0.35">
      <c r="A33" t="s">
        <v>38</v>
      </c>
      <c r="B33" s="2">
        <v>46256</v>
      </c>
      <c r="C33" t="s">
        <v>88</v>
      </c>
      <c r="D33" t="s">
        <v>138</v>
      </c>
      <c r="E33">
        <v>10</v>
      </c>
      <c r="F33" s="6">
        <v>1702</v>
      </c>
      <c r="G33" s="3">
        <v>0.14000000000000001</v>
      </c>
      <c r="I33" s="9"/>
    </row>
    <row r="34" spans="1:9" x14ac:dyDescent="0.35">
      <c r="A34" t="s">
        <v>39</v>
      </c>
      <c r="B34" s="2">
        <v>46261</v>
      </c>
      <c r="C34" t="s">
        <v>89</v>
      </c>
      <c r="D34" t="s">
        <v>139</v>
      </c>
      <c r="E34">
        <v>8</v>
      </c>
      <c r="F34" s="6">
        <v>6578</v>
      </c>
      <c r="G34" s="3">
        <v>0.1</v>
      </c>
      <c r="I34" s="9"/>
    </row>
    <row r="35" spans="1:9" x14ac:dyDescent="0.35">
      <c r="A35" t="s">
        <v>40</v>
      </c>
      <c r="B35" s="2">
        <v>46271</v>
      </c>
      <c r="C35" t="s">
        <v>90</v>
      </c>
      <c r="D35" t="s">
        <v>140</v>
      </c>
      <c r="E35">
        <v>10</v>
      </c>
      <c r="F35" s="6">
        <v>4855</v>
      </c>
      <c r="G35" s="3">
        <v>0.19</v>
      </c>
      <c r="I35" s="9"/>
    </row>
    <row r="36" spans="1:9" x14ac:dyDescent="0.35">
      <c r="A36" t="s">
        <v>41</v>
      </c>
      <c r="B36" s="2">
        <v>46285</v>
      </c>
      <c r="C36" t="s">
        <v>91</v>
      </c>
      <c r="D36" t="s">
        <v>141</v>
      </c>
      <c r="E36">
        <v>9</v>
      </c>
      <c r="F36" s="6">
        <v>8568</v>
      </c>
      <c r="G36" s="3">
        <v>0.2</v>
      </c>
      <c r="I36" s="9"/>
    </row>
    <row r="37" spans="1:9" x14ac:dyDescent="0.35">
      <c r="A37" t="s">
        <v>42</v>
      </c>
      <c r="B37" s="2">
        <v>46288</v>
      </c>
      <c r="C37" t="s">
        <v>92</v>
      </c>
      <c r="D37" t="s">
        <v>142</v>
      </c>
      <c r="E37">
        <v>6</v>
      </c>
      <c r="F37" s="6">
        <v>5455</v>
      </c>
      <c r="G37" s="3">
        <v>0.16</v>
      </c>
      <c r="I37" s="9"/>
    </row>
    <row r="38" spans="1:9" x14ac:dyDescent="0.35">
      <c r="A38" t="s">
        <v>43</v>
      </c>
      <c r="B38" s="2">
        <v>46291</v>
      </c>
      <c r="C38" t="s">
        <v>93</v>
      </c>
      <c r="D38" t="s">
        <v>143</v>
      </c>
      <c r="E38">
        <v>1</v>
      </c>
      <c r="F38" s="6">
        <v>3735</v>
      </c>
      <c r="G38" s="3">
        <v>0.12</v>
      </c>
      <c r="I38" s="9"/>
    </row>
    <row r="39" spans="1:9" x14ac:dyDescent="0.35">
      <c r="A39" t="s">
        <v>44</v>
      </c>
      <c r="B39" s="2">
        <v>46292</v>
      </c>
      <c r="C39" t="s">
        <v>94</v>
      </c>
      <c r="D39" t="s">
        <v>144</v>
      </c>
      <c r="E39">
        <v>6</v>
      </c>
      <c r="F39" s="6">
        <v>8297</v>
      </c>
      <c r="G39" s="3">
        <v>0.13</v>
      </c>
      <c r="I39" s="9"/>
    </row>
    <row r="40" spans="1:9" x14ac:dyDescent="0.35">
      <c r="A40" t="s">
        <v>45</v>
      </c>
      <c r="B40" s="2">
        <v>46301</v>
      </c>
      <c r="C40" t="s">
        <v>95</v>
      </c>
      <c r="D40" t="s">
        <v>145</v>
      </c>
      <c r="E40">
        <v>6</v>
      </c>
      <c r="F40" s="6">
        <v>8741</v>
      </c>
      <c r="G40" s="3">
        <v>0.17</v>
      </c>
      <c r="I40" s="9"/>
    </row>
    <row r="41" spans="1:9" x14ac:dyDescent="0.35">
      <c r="A41" t="s">
        <v>46</v>
      </c>
      <c r="B41" s="2">
        <v>46304</v>
      </c>
      <c r="C41" t="s">
        <v>96</v>
      </c>
      <c r="D41" t="s">
        <v>146</v>
      </c>
      <c r="E41">
        <v>2</v>
      </c>
      <c r="F41" s="6">
        <v>7381</v>
      </c>
      <c r="G41" s="3">
        <v>0.17</v>
      </c>
      <c r="I41" s="9"/>
    </row>
    <row r="42" spans="1:9" x14ac:dyDescent="0.35">
      <c r="A42" t="s">
        <v>47</v>
      </c>
      <c r="B42" s="2">
        <v>46313</v>
      </c>
      <c r="C42" t="s">
        <v>97</v>
      </c>
      <c r="D42" t="s">
        <v>147</v>
      </c>
      <c r="E42">
        <v>4</v>
      </c>
      <c r="F42" s="6">
        <v>3460</v>
      </c>
      <c r="G42" s="3">
        <v>0.11</v>
      </c>
      <c r="I42" s="9"/>
    </row>
    <row r="43" spans="1:9" x14ac:dyDescent="0.35">
      <c r="A43" t="s">
        <v>48</v>
      </c>
      <c r="B43" s="2">
        <v>46314</v>
      </c>
      <c r="C43" t="s">
        <v>98</v>
      </c>
      <c r="D43" t="s">
        <v>148</v>
      </c>
      <c r="E43">
        <v>7</v>
      </c>
      <c r="F43" s="6">
        <v>8259</v>
      </c>
      <c r="G43" s="3">
        <v>0.13</v>
      </c>
      <c r="I43" s="9"/>
    </row>
    <row r="44" spans="1:9" x14ac:dyDescent="0.35">
      <c r="A44" t="s">
        <v>49</v>
      </c>
      <c r="B44" s="2">
        <v>46318</v>
      </c>
      <c r="C44" t="s">
        <v>99</v>
      </c>
      <c r="D44" t="s">
        <v>149</v>
      </c>
      <c r="E44">
        <v>1</v>
      </c>
      <c r="F44" s="6">
        <v>8131</v>
      </c>
      <c r="G44" s="3">
        <v>0.1</v>
      </c>
      <c r="I44" s="9"/>
    </row>
    <row r="45" spans="1:9" x14ac:dyDescent="0.35">
      <c r="A45" t="s">
        <v>50</v>
      </c>
      <c r="B45" s="2">
        <v>46340</v>
      </c>
      <c r="C45" t="s">
        <v>100</v>
      </c>
      <c r="D45" t="s">
        <v>150</v>
      </c>
      <c r="E45">
        <v>5</v>
      </c>
      <c r="F45" s="6">
        <v>2982</v>
      </c>
      <c r="G45" s="3">
        <v>0.18</v>
      </c>
      <c r="I45" s="9"/>
    </row>
    <row r="46" spans="1:9" x14ac:dyDescent="0.35">
      <c r="A46" t="s">
        <v>51</v>
      </c>
      <c r="B46" s="2">
        <v>46344</v>
      </c>
      <c r="C46" t="s">
        <v>101</v>
      </c>
      <c r="D46" t="s">
        <v>151</v>
      </c>
      <c r="E46">
        <v>5</v>
      </c>
      <c r="F46" s="6">
        <v>1811</v>
      </c>
      <c r="G46" s="3">
        <v>0.2</v>
      </c>
      <c r="I46" s="9"/>
    </row>
    <row r="47" spans="1:9" x14ac:dyDescent="0.35">
      <c r="A47" t="s">
        <v>52</v>
      </c>
      <c r="B47" s="2">
        <v>46353</v>
      </c>
      <c r="C47" t="s">
        <v>102</v>
      </c>
      <c r="D47" t="s">
        <v>152</v>
      </c>
      <c r="E47">
        <v>2</v>
      </c>
      <c r="F47" s="6">
        <v>3163</v>
      </c>
      <c r="G47" s="3">
        <v>0.14000000000000001</v>
      </c>
      <c r="I47" s="9"/>
    </row>
    <row r="48" spans="1:9" x14ac:dyDescent="0.35">
      <c r="A48" t="s">
        <v>53</v>
      </c>
      <c r="B48" s="2">
        <v>46373</v>
      </c>
      <c r="C48" t="s">
        <v>103</v>
      </c>
      <c r="D48" t="s">
        <v>153</v>
      </c>
      <c r="E48">
        <v>6</v>
      </c>
      <c r="F48" s="6">
        <v>9435</v>
      </c>
      <c r="G48" s="3">
        <v>0.2</v>
      </c>
      <c r="I48" s="9"/>
    </row>
    <row r="49" spans="1:9" x14ac:dyDescent="0.35">
      <c r="A49" t="s">
        <v>54</v>
      </c>
      <c r="B49" s="2">
        <v>46373</v>
      </c>
      <c r="C49" t="s">
        <v>104</v>
      </c>
      <c r="D49" t="s">
        <v>154</v>
      </c>
      <c r="E49">
        <v>10</v>
      </c>
      <c r="F49" s="6">
        <v>3917</v>
      </c>
      <c r="G49" s="3">
        <v>0.18</v>
      </c>
      <c r="I49" s="9"/>
    </row>
    <row r="50" spans="1:9" x14ac:dyDescent="0.35">
      <c r="A50" t="s">
        <v>55</v>
      </c>
      <c r="B50" s="2">
        <v>46375</v>
      </c>
      <c r="C50" t="s">
        <v>105</v>
      </c>
      <c r="D50" t="s">
        <v>155</v>
      </c>
      <c r="E50">
        <v>1</v>
      </c>
      <c r="F50" s="6">
        <v>6659</v>
      </c>
      <c r="G50" s="3">
        <v>0.18</v>
      </c>
      <c r="I50" s="9"/>
    </row>
    <row r="51" spans="1:9" x14ac:dyDescent="0.35">
      <c r="A51" t="s">
        <v>56</v>
      </c>
      <c r="B51" s="2">
        <v>46379</v>
      </c>
      <c r="C51" t="s">
        <v>106</v>
      </c>
      <c r="D51" t="s">
        <v>156</v>
      </c>
      <c r="E51">
        <v>9</v>
      </c>
      <c r="F51" s="6">
        <v>2975</v>
      </c>
      <c r="G51" s="3">
        <v>0.16</v>
      </c>
      <c r="I51" s="9"/>
    </row>
    <row r="52" spans="1:9" x14ac:dyDescent="0.35">
      <c r="B52" s="2"/>
    </row>
    <row r="53" spans="1:9" x14ac:dyDescent="0.35">
      <c r="B53" s="2"/>
    </row>
  </sheetData>
  <sortState xmlns:xlrd2="http://schemas.microsoft.com/office/spreadsheetml/2017/richdata2" ref="B2:B54">
    <sortCondition ref="B2:B54"/>
  </sortState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AB1A6-D6B9-466D-AB95-B095505BC59E}">
  <dimension ref="A1:C51"/>
  <sheetViews>
    <sheetView zoomScale="124" zoomScaleNormal="124" workbookViewId="0">
      <selection activeCell="F18" sqref="F18"/>
    </sheetView>
  </sheetViews>
  <sheetFormatPr defaultRowHeight="14.5" x14ac:dyDescent="0.35"/>
  <cols>
    <col min="1" max="1" width="13.81640625" customWidth="1"/>
    <col min="2" max="2" width="16.54296875" customWidth="1"/>
    <col min="3" max="3" width="14.08984375" customWidth="1"/>
  </cols>
  <sheetData>
    <row r="1" spans="1:3" x14ac:dyDescent="0.35">
      <c r="A1" s="1" t="s">
        <v>2</v>
      </c>
      <c r="B1" s="1" t="s">
        <v>157</v>
      </c>
      <c r="C1" s="1" t="s">
        <v>158</v>
      </c>
    </row>
    <row r="2" spans="1:3" x14ac:dyDescent="0.35">
      <c r="A2" t="s">
        <v>57</v>
      </c>
      <c r="B2" t="s">
        <v>159</v>
      </c>
      <c r="C2" t="s">
        <v>209</v>
      </c>
    </row>
    <row r="3" spans="1:3" x14ac:dyDescent="0.35">
      <c r="A3" t="s">
        <v>58</v>
      </c>
      <c r="B3" t="s">
        <v>160</v>
      </c>
      <c r="C3" t="s">
        <v>210</v>
      </c>
    </row>
    <row r="4" spans="1:3" x14ac:dyDescent="0.35">
      <c r="A4" t="s">
        <v>59</v>
      </c>
      <c r="B4" t="s">
        <v>161</v>
      </c>
      <c r="C4" t="s">
        <v>211</v>
      </c>
    </row>
    <row r="5" spans="1:3" x14ac:dyDescent="0.35">
      <c r="A5" t="s">
        <v>60</v>
      </c>
      <c r="B5" t="s">
        <v>162</v>
      </c>
      <c r="C5" t="s">
        <v>212</v>
      </c>
    </row>
    <row r="6" spans="1:3" x14ac:dyDescent="0.35">
      <c r="A6" t="s">
        <v>61</v>
      </c>
      <c r="B6" t="s">
        <v>163</v>
      </c>
      <c r="C6" t="s">
        <v>213</v>
      </c>
    </row>
    <row r="7" spans="1:3" x14ac:dyDescent="0.35">
      <c r="A7" t="s">
        <v>62</v>
      </c>
      <c r="B7" t="s">
        <v>164</v>
      </c>
      <c r="C7" t="s">
        <v>214</v>
      </c>
    </row>
    <row r="8" spans="1:3" x14ac:dyDescent="0.35">
      <c r="A8" t="s">
        <v>63</v>
      </c>
      <c r="B8" t="s">
        <v>165</v>
      </c>
      <c r="C8" t="s">
        <v>215</v>
      </c>
    </row>
    <row r="9" spans="1:3" x14ac:dyDescent="0.35">
      <c r="A9" t="s">
        <v>64</v>
      </c>
      <c r="B9" t="s">
        <v>166</v>
      </c>
      <c r="C9" t="s">
        <v>216</v>
      </c>
    </row>
    <row r="10" spans="1:3" x14ac:dyDescent="0.35">
      <c r="A10" t="s">
        <v>65</v>
      </c>
      <c r="B10" t="s">
        <v>167</v>
      </c>
      <c r="C10" t="s">
        <v>217</v>
      </c>
    </row>
    <row r="11" spans="1:3" x14ac:dyDescent="0.35">
      <c r="A11" t="s">
        <v>66</v>
      </c>
      <c r="B11" t="s">
        <v>168</v>
      </c>
      <c r="C11" t="s">
        <v>218</v>
      </c>
    </row>
    <row r="12" spans="1:3" x14ac:dyDescent="0.35">
      <c r="A12" t="s">
        <v>67</v>
      </c>
      <c r="B12" t="s">
        <v>169</v>
      </c>
      <c r="C12" t="s">
        <v>219</v>
      </c>
    </row>
    <row r="13" spans="1:3" x14ac:dyDescent="0.35">
      <c r="A13" t="s">
        <v>68</v>
      </c>
      <c r="B13" t="s">
        <v>170</v>
      </c>
      <c r="C13" t="s">
        <v>220</v>
      </c>
    </row>
    <row r="14" spans="1:3" x14ac:dyDescent="0.35">
      <c r="A14" t="s">
        <v>69</v>
      </c>
      <c r="B14" t="s">
        <v>171</v>
      </c>
      <c r="C14" t="s">
        <v>221</v>
      </c>
    </row>
    <row r="15" spans="1:3" x14ac:dyDescent="0.35">
      <c r="A15" t="s">
        <v>70</v>
      </c>
      <c r="B15" t="s">
        <v>172</v>
      </c>
      <c r="C15" t="s">
        <v>222</v>
      </c>
    </row>
    <row r="16" spans="1:3" x14ac:dyDescent="0.35">
      <c r="A16" t="s">
        <v>71</v>
      </c>
      <c r="B16" t="s">
        <v>173</v>
      </c>
      <c r="C16" t="s">
        <v>223</v>
      </c>
    </row>
    <row r="17" spans="1:3" x14ac:dyDescent="0.35">
      <c r="A17" t="s">
        <v>72</v>
      </c>
      <c r="B17" t="s">
        <v>174</v>
      </c>
      <c r="C17" t="s">
        <v>224</v>
      </c>
    </row>
    <row r="18" spans="1:3" x14ac:dyDescent="0.35">
      <c r="A18" t="s">
        <v>73</v>
      </c>
      <c r="B18" t="s">
        <v>175</v>
      </c>
      <c r="C18" t="s">
        <v>225</v>
      </c>
    </row>
    <row r="19" spans="1:3" x14ac:dyDescent="0.35">
      <c r="A19" t="s">
        <v>74</v>
      </c>
      <c r="B19" t="s">
        <v>176</v>
      </c>
      <c r="C19" t="s">
        <v>226</v>
      </c>
    </row>
    <row r="20" spans="1:3" x14ac:dyDescent="0.35">
      <c r="A20" t="s">
        <v>75</v>
      </c>
      <c r="B20" t="s">
        <v>177</v>
      </c>
      <c r="C20" t="s">
        <v>227</v>
      </c>
    </row>
    <row r="21" spans="1:3" x14ac:dyDescent="0.35">
      <c r="A21" t="s">
        <v>76</v>
      </c>
      <c r="B21" t="s">
        <v>178</v>
      </c>
      <c r="C21" t="s">
        <v>228</v>
      </c>
    </row>
    <row r="22" spans="1:3" x14ac:dyDescent="0.35">
      <c r="A22" t="s">
        <v>77</v>
      </c>
      <c r="B22" t="s">
        <v>179</v>
      </c>
      <c r="C22" t="s">
        <v>209</v>
      </c>
    </row>
    <row r="23" spans="1:3" x14ac:dyDescent="0.35">
      <c r="A23" t="s">
        <v>78</v>
      </c>
      <c r="B23" t="s">
        <v>180</v>
      </c>
      <c r="C23" t="s">
        <v>210</v>
      </c>
    </row>
    <row r="24" spans="1:3" x14ac:dyDescent="0.35">
      <c r="A24" t="s">
        <v>79</v>
      </c>
      <c r="B24" t="s">
        <v>181</v>
      </c>
      <c r="C24" t="s">
        <v>214</v>
      </c>
    </row>
    <row r="25" spans="1:3" x14ac:dyDescent="0.35">
      <c r="A25" t="s">
        <v>80</v>
      </c>
      <c r="B25" t="s">
        <v>182</v>
      </c>
      <c r="C25" t="s">
        <v>212</v>
      </c>
    </row>
    <row r="26" spans="1:3" x14ac:dyDescent="0.35">
      <c r="A26" t="s">
        <v>81</v>
      </c>
      <c r="B26" t="s">
        <v>183</v>
      </c>
      <c r="C26" t="s">
        <v>213</v>
      </c>
    </row>
    <row r="27" spans="1:3" x14ac:dyDescent="0.35">
      <c r="A27" t="s">
        <v>82</v>
      </c>
      <c r="B27" t="s">
        <v>184</v>
      </c>
      <c r="C27" t="s">
        <v>217</v>
      </c>
    </row>
    <row r="28" spans="1:3" x14ac:dyDescent="0.35">
      <c r="A28" t="s">
        <v>83</v>
      </c>
      <c r="B28" t="s">
        <v>185</v>
      </c>
      <c r="C28" t="s">
        <v>215</v>
      </c>
    </row>
    <row r="29" spans="1:3" x14ac:dyDescent="0.35">
      <c r="A29" t="s">
        <v>84</v>
      </c>
      <c r="B29" t="s">
        <v>186</v>
      </c>
      <c r="C29" t="s">
        <v>219</v>
      </c>
    </row>
    <row r="30" spans="1:3" x14ac:dyDescent="0.35">
      <c r="A30" t="s">
        <v>85</v>
      </c>
      <c r="B30" t="s">
        <v>187</v>
      </c>
      <c r="C30" t="s">
        <v>211</v>
      </c>
    </row>
    <row r="31" spans="1:3" x14ac:dyDescent="0.35">
      <c r="A31" t="s">
        <v>86</v>
      </c>
      <c r="B31" t="s">
        <v>188</v>
      </c>
      <c r="C31" t="s">
        <v>218</v>
      </c>
    </row>
    <row r="32" spans="1:3" x14ac:dyDescent="0.35">
      <c r="A32" t="s">
        <v>87</v>
      </c>
      <c r="B32" t="s">
        <v>189</v>
      </c>
      <c r="C32" t="s">
        <v>216</v>
      </c>
    </row>
    <row r="33" spans="1:3" x14ac:dyDescent="0.35">
      <c r="A33" t="s">
        <v>88</v>
      </c>
      <c r="B33" t="s">
        <v>190</v>
      </c>
      <c r="C33" t="s">
        <v>221</v>
      </c>
    </row>
    <row r="34" spans="1:3" x14ac:dyDescent="0.35">
      <c r="A34" t="s">
        <v>89</v>
      </c>
      <c r="B34" t="s">
        <v>191</v>
      </c>
      <c r="C34" t="s">
        <v>224</v>
      </c>
    </row>
    <row r="35" spans="1:3" x14ac:dyDescent="0.35">
      <c r="A35" t="s">
        <v>90</v>
      </c>
      <c r="B35" t="s">
        <v>192</v>
      </c>
      <c r="C35" t="s">
        <v>222</v>
      </c>
    </row>
    <row r="36" spans="1:3" x14ac:dyDescent="0.35">
      <c r="A36" t="s">
        <v>91</v>
      </c>
      <c r="B36" t="s">
        <v>193</v>
      </c>
      <c r="C36" t="s">
        <v>225</v>
      </c>
    </row>
    <row r="37" spans="1:3" x14ac:dyDescent="0.35">
      <c r="A37" t="s">
        <v>92</v>
      </c>
      <c r="B37" t="s">
        <v>194</v>
      </c>
      <c r="C37" t="s">
        <v>227</v>
      </c>
    </row>
    <row r="38" spans="1:3" x14ac:dyDescent="0.35">
      <c r="A38" t="s">
        <v>93</v>
      </c>
      <c r="B38" t="s">
        <v>195</v>
      </c>
      <c r="C38" t="s">
        <v>220</v>
      </c>
    </row>
    <row r="39" spans="1:3" x14ac:dyDescent="0.35">
      <c r="A39" t="s">
        <v>94</v>
      </c>
      <c r="B39" t="s">
        <v>196</v>
      </c>
      <c r="C39" t="s">
        <v>223</v>
      </c>
    </row>
    <row r="40" spans="1:3" x14ac:dyDescent="0.35">
      <c r="A40" t="s">
        <v>95</v>
      </c>
      <c r="B40" t="s">
        <v>197</v>
      </c>
      <c r="C40" t="s">
        <v>226</v>
      </c>
    </row>
    <row r="41" spans="1:3" x14ac:dyDescent="0.35">
      <c r="A41" t="s">
        <v>96</v>
      </c>
      <c r="B41" t="s">
        <v>198</v>
      </c>
      <c r="C41" t="s">
        <v>228</v>
      </c>
    </row>
    <row r="42" spans="1:3" x14ac:dyDescent="0.35">
      <c r="A42" t="s">
        <v>97</v>
      </c>
      <c r="B42" t="s">
        <v>199</v>
      </c>
      <c r="C42" t="s">
        <v>209</v>
      </c>
    </row>
    <row r="43" spans="1:3" x14ac:dyDescent="0.35">
      <c r="A43" t="s">
        <v>98</v>
      </c>
      <c r="B43" t="s">
        <v>200</v>
      </c>
      <c r="C43" t="s">
        <v>214</v>
      </c>
    </row>
    <row r="44" spans="1:3" x14ac:dyDescent="0.35">
      <c r="A44" t="s">
        <v>99</v>
      </c>
      <c r="B44" t="s">
        <v>201</v>
      </c>
      <c r="C44" t="s">
        <v>210</v>
      </c>
    </row>
    <row r="45" spans="1:3" x14ac:dyDescent="0.35">
      <c r="A45" t="s">
        <v>100</v>
      </c>
      <c r="B45" t="s">
        <v>202</v>
      </c>
      <c r="C45" t="s">
        <v>212</v>
      </c>
    </row>
    <row r="46" spans="1:3" x14ac:dyDescent="0.35">
      <c r="A46" t="s">
        <v>101</v>
      </c>
      <c r="B46" t="s">
        <v>203</v>
      </c>
      <c r="C46" t="s">
        <v>217</v>
      </c>
    </row>
    <row r="47" spans="1:3" x14ac:dyDescent="0.35">
      <c r="A47" t="s">
        <v>102</v>
      </c>
      <c r="B47" t="s">
        <v>204</v>
      </c>
      <c r="C47" t="s">
        <v>213</v>
      </c>
    </row>
    <row r="48" spans="1:3" x14ac:dyDescent="0.35">
      <c r="A48" t="s">
        <v>103</v>
      </c>
      <c r="B48" t="s">
        <v>205</v>
      </c>
      <c r="C48" t="s">
        <v>215</v>
      </c>
    </row>
    <row r="49" spans="1:3" x14ac:dyDescent="0.35">
      <c r="A49" t="s">
        <v>104</v>
      </c>
      <c r="B49" t="s">
        <v>206</v>
      </c>
      <c r="C49" t="s">
        <v>219</v>
      </c>
    </row>
    <row r="50" spans="1:3" x14ac:dyDescent="0.35">
      <c r="A50" t="s">
        <v>105</v>
      </c>
      <c r="B50" t="s">
        <v>207</v>
      </c>
      <c r="C50" t="s">
        <v>211</v>
      </c>
    </row>
    <row r="51" spans="1:3" x14ac:dyDescent="0.35">
      <c r="A51" t="s">
        <v>106</v>
      </c>
      <c r="B51" t="s">
        <v>208</v>
      </c>
      <c r="C51" t="s">
        <v>224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E5A1C-13B8-4029-BA1E-D6E6EFE38B8C}">
  <dimension ref="A1:G51"/>
  <sheetViews>
    <sheetView zoomScale="120" zoomScaleNormal="120" workbookViewId="0">
      <selection activeCell="C60" sqref="C60"/>
    </sheetView>
  </sheetViews>
  <sheetFormatPr defaultRowHeight="14.5" x14ac:dyDescent="0.35"/>
  <cols>
    <col min="1" max="1" width="11.81640625" customWidth="1"/>
    <col min="2" max="2" width="27.453125" customWidth="1"/>
    <col min="3" max="3" width="20.1796875" customWidth="1"/>
    <col min="4" max="4" width="13.36328125" style="9" customWidth="1"/>
    <col min="7" max="7" width="9.26953125" bestFit="1" customWidth="1"/>
  </cols>
  <sheetData>
    <row r="1" spans="1:7" x14ac:dyDescent="0.35">
      <c r="A1" s="1" t="s">
        <v>3</v>
      </c>
      <c r="B1" s="1" t="s">
        <v>229</v>
      </c>
      <c r="C1" s="1" t="s">
        <v>280</v>
      </c>
      <c r="D1" s="10" t="s">
        <v>297</v>
      </c>
      <c r="G1" s="1"/>
    </row>
    <row r="2" spans="1:7" x14ac:dyDescent="0.35">
      <c r="A2" t="s">
        <v>107</v>
      </c>
      <c r="B2" t="s">
        <v>230</v>
      </c>
      <c r="C2" s="8" t="s">
        <v>281</v>
      </c>
      <c r="D2" s="9">
        <f>Sales!F2/Sales!E2</f>
        <v>899.71428571428567</v>
      </c>
      <c r="G2" s="9"/>
    </row>
    <row r="3" spans="1:7" x14ac:dyDescent="0.35">
      <c r="A3" t="s">
        <v>108</v>
      </c>
      <c r="B3" t="s">
        <v>231</v>
      </c>
      <c r="C3" s="8" t="s">
        <v>281</v>
      </c>
      <c r="D3" s="9">
        <f>Sales!F3/Sales!E3</f>
        <v>4399.5</v>
      </c>
      <c r="G3" s="9"/>
    </row>
    <row r="4" spans="1:7" x14ac:dyDescent="0.35">
      <c r="A4" t="s">
        <v>109</v>
      </c>
      <c r="B4" t="s">
        <v>232</v>
      </c>
      <c r="C4" s="8" t="s">
        <v>281</v>
      </c>
      <c r="D4" s="9">
        <f>Sales!F4/Sales!E4</f>
        <v>673.875</v>
      </c>
      <c r="G4" s="9"/>
    </row>
    <row r="5" spans="1:7" x14ac:dyDescent="0.35">
      <c r="A5" t="s">
        <v>110</v>
      </c>
      <c r="B5" t="s">
        <v>233</v>
      </c>
      <c r="C5" s="8" t="s">
        <v>282</v>
      </c>
      <c r="D5" s="9">
        <f>Sales!F5/Sales!E5</f>
        <v>601.66666666666663</v>
      </c>
      <c r="G5" s="9"/>
    </row>
    <row r="6" spans="1:7" x14ac:dyDescent="0.35">
      <c r="A6" t="s">
        <v>111</v>
      </c>
      <c r="B6" t="s">
        <v>234</v>
      </c>
      <c r="C6" s="8" t="s">
        <v>281</v>
      </c>
      <c r="D6" s="9">
        <f>Sales!F6/Sales!E6</f>
        <v>983</v>
      </c>
      <c r="G6" s="9"/>
    </row>
    <row r="7" spans="1:7" x14ac:dyDescent="0.35">
      <c r="A7" t="s">
        <v>112</v>
      </c>
      <c r="B7" t="s">
        <v>235</v>
      </c>
      <c r="C7" s="8" t="s">
        <v>282</v>
      </c>
      <c r="D7" s="9">
        <f>Sales!F7/Sales!E7</f>
        <v>912.6</v>
      </c>
      <c r="G7" s="9"/>
    </row>
    <row r="8" spans="1:7" x14ac:dyDescent="0.35">
      <c r="A8" t="s">
        <v>113</v>
      </c>
      <c r="B8" t="s">
        <v>236</v>
      </c>
      <c r="C8" s="8" t="s">
        <v>283</v>
      </c>
      <c r="D8" s="9">
        <f>Sales!F8/Sales!E8</f>
        <v>1676.3333333333333</v>
      </c>
      <c r="G8" s="9"/>
    </row>
    <row r="9" spans="1:7" x14ac:dyDescent="0.35">
      <c r="A9" t="s">
        <v>114</v>
      </c>
      <c r="B9" t="s">
        <v>237</v>
      </c>
      <c r="C9" s="8" t="s">
        <v>281</v>
      </c>
      <c r="D9" s="9">
        <f>Sales!F9/Sales!E9</f>
        <v>323.66666666666669</v>
      </c>
      <c r="G9" s="9"/>
    </row>
    <row r="10" spans="1:7" x14ac:dyDescent="0.35">
      <c r="A10" t="s">
        <v>115</v>
      </c>
      <c r="B10" t="s">
        <v>238</v>
      </c>
      <c r="C10" s="8" t="s">
        <v>281</v>
      </c>
      <c r="D10" s="9">
        <f>Sales!F10/Sales!E10</f>
        <v>2485.6666666666665</v>
      </c>
      <c r="G10" s="9"/>
    </row>
    <row r="11" spans="1:7" x14ac:dyDescent="0.35">
      <c r="A11" t="s">
        <v>116</v>
      </c>
      <c r="B11" t="s">
        <v>239</v>
      </c>
      <c r="C11" s="8" t="s">
        <v>284</v>
      </c>
      <c r="D11" s="9">
        <f>Sales!F11/Sales!E11</f>
        <v>682.66666666666663</v>
      </c>
      <c r="G11" s="9"/>
    </row>
    <row r="12" spans="1:7" x14ac:dyDescent="0.35">
      <c r="A12" t="s">
        <v>117</v>
      </c>
      <c r="B12" t="s">
        <v>240</v>
      </c>
      <c r="C12" s="8" t="s">
        <v>285</v>
      </c>
      <c r="D12" s="9">
        <f>Sales!F12/Sales!E12</f>
        <v>2296.25</v>
      </c>
      <c r="G12" s="9"/>
    </row>
    <row r="13" spans="1:7" x14ac:dyDescent="0.35">
      <c r="A13" t="s">
        <v>118</v>
      </c>
      <c r="B13" t="s">
        <v>241</v>
      </c>
      <c r="C13" s="8" t="s">
        <v>286</v>
      </c>
      <c r="D13" s="9">
        <f>Sales!F13/Sales!E13</f>
        <v>358.57142857142856</v>
      </c>
      <c r="G13" s="9"/>
    </row>
    <row r="14" spans="1:7" x14ac:dyDescent="0.35">
      <c r="A14" t="s">
        <v>119</v>
      </c>
      <c r="B14" t="s">
        <v>242</v>
      </c>
      <c r="C14" s="8" t="s">
        <v>287</v>
      </c>
      <c r="D14" s="9">
        <f>Sales!F14/Sales!E14</f>
        <v>723</v>
      </c>
      <c r="G14" s="9"/>
    </row>
    <row r="15" spans="1:7" x14ac:dyDescent="0.35">
      <c r="A15" t="s">
        <v>120</v>
      </c>
      <c r="B15" t="s">
        <v>243</v>
      </c>
      <c r="C15" s="8" t="s">
        <v>285</v>
      </c>
      <c r="D15" s="9">
        <f>Sales!F15/Sales!E15</f>
        <v>925.83333333333337</v>
      </c>
      <c r="G15" s="9"/>
    </row>
    <row r="16" spans="1:7" x14ac:dyDescent="0.35">
      <c r="A16" t="s">
        <v>121</v>
      </c>
      <c r="B16" t="s">
        <v>244</v>
      </c>
      <c r="C16" s="8" t="s">
        <v>281</v>
      </c>
      <c r="D16" s="9">
        <f>Sales!F16/Sales!E16</f>
        <v>1419</v>
      </c>
      <c r="G16" s="9"/>
    </row>
    <row r="17" spans="1:7" x14ac:dyDescent="0.35">
      <c r="A17" t="s">
        <v>122</v>
      </c>
      <c r="B17" t="s">
        <v>245</v>
      </c>
      <c r="C17" s="8" t="s">
        <v>281</v>
      </c>
      <c r="D17" s="9">
        <f>Sales!F17/Sales!E17</f>
        <v>1977.4</v>
      </c>
      <c r="G17" s="9"/>
    </row>
    <row r="18" spans="1:7" x14ac:dyDescent="0.35">
      <c r="A18" t="s">
        <v>123</v>
      </c>
      <c r="B18" t="s">
        <v>246</v>
      </c>
      <c r="C18" s="8" t="s">
        <v>282</v>
      </c>
      <c r="D18" s="9">
        <f>Sales!F18/Sales!E18</f>
        <v>2332</v>
      </c>
      <c r="G18" s="9"/>
    </row>
    <row r="19" spans="1:7" x14ac:dyDescent="0.35">
      <c r="A19" t="s">
        <v>124</v>
      </c>
      <c r="B19" t="s">
        <v>247</v>
      </c>
      <c r="C19" s="8" t="s">
        <v>288</v>
      </c>
      <c r="D19" s="9">
        <f>Sales!F19/Sales!E19</f>
        <v>963</v>
      </c>
      <c r="G19" s="9"/>
    </row>
    <row r="20" spans="1:7" x14ac:dyDescent="0.35">
      <c r="A20" t="s">
        <v>125</v>
      </c>
      <c r="B20" t="s">
        <v>248</v>
      </c>
      <c r="C20" s="8" t="s">
        <v>288</v>
      </c>
      <c r="D20" s="9">
        <f>Sales!F20/Sales!E20</f>
        <v>8918</v>
      </c>
      <c r="G20" s="9"/>
    </row>
    <row r="21" spans="1:7" x14ac:dyDescent="0.35">
      <c r="A21" t="s">
        <v>126</v>
      </c>
      <c r="B21" t="s">
        <v>249</v>
      </c>
      <c r="C21" s="8" t="s">
        <v>289</v>
      </c>
      <c r="D21" s="9">
        <f>Sales!F21/Sales!E21</f>
        <v>2238.6666666666665</v>
      </c>
      <c r="G21" s="9"/>
    </row>
    <row r="22" spans="1:7" x14ac:dyDescent="0.35">
      <c r="A22" t="s">
        <v>127</v>
      </c>
      <c r="B22" t="s">
        <v>250</v>
      </c>
      <c r="C22" s="8" t="s">
        <v>281</v>
      </c>
      <c r="D22" s="9">
        <f>Sales!F22/Sales!E22</f>
        <v>646.66666666666663</v>
      </c>
      <c r="G22" s="9"/>
    </row>
    <row r="23" spans="1:7" x14ac:dyDescent="0.35">
      <c r="A23" t="s">
        <v>128</v>
      </c>
      <c r="B23" t="s">
        <v>251</v>
      </c>
      <c r="C23" s="8" t="s">
        <v>281</v>
      </c>
      <c r="D23" s="9">
        <f>Sales!F23/Sales!E23</f>
        <v>959.2</v>
      </c>
      <c r="G23" s="9"/>
    </row>
    <row r="24" spans="1:7" x14ac:dyDescent="0.35">
      <c r="A24" t="s">
        <v>129</v>
      </c>
      <c r="B24" t="s">
        <v>252</v>
      </c>
      <c r="C24" s="8" t="s">
        <v>290</v>
      </c>
      <c r="D24" s="9">
        <f>Sales!F24/Sales!E24</f>
        <v>141.69999999999999</v>
      </c>
      <c r="G24" s="9"/>
    </row>
    <row r="25" spans="1:7" x14ac:dyDescent="0.35">
      <c r="A25" t="s">
        <v>130</v>
      </c>
      <c r="B25" t="s">
        <v>253</v>
      </c>
      <c r="C25" s="8" t="s">
        <v>291</v>
      </c>
      <c r="D25" s="9">
        <f>Sales!F25/Sales!E25</f>
        <v>1381.3333333333333</v>
      </c>
      <c r="G25" s="9"/>
    </row>
    <row r="26" spans="1:7" x14ac:dyDescent="0.35">
      <c r="A26" t="s">
        <v>131</v>
      </c>
      <c r="B26" t="s">
        <v>254</v>
      </c>
      <c r="C26" s="8" t="s">
        <v>281</v>
      </c>
      <c r="D26" s="9">
        <f>Sales!F26/Sales!E26</f>
        <v>1089.6666666666667</v>
      </c>
      <c r="G26" s="9"/>
    </row>
    <row r="27" spans="1:7" x14ac:dyDescent="0.35">
      <c r="A27" t="s">
        <v>132</v>
      </c>
      <c r="B27" t="s">
        <v>255</v>
      </c>
      <c r="C27" s="8" t="s">
        <v>281</v>
      </c>
      <c r="D27" s="9">
        <f>Sales!F27/Sales!E27</f>
        <v>1929.6666666666667</v>
      </c>
      <c r="G27" s="9"/>
    </row>
    <row r="28" spans="1:7" x14ac:dyDescent="0.35">
      <c r="A28" t="s">
        <v>133</v>
      </c>
      <c r="B28" t="s">
        <v>256</v>
      </c>
      <c r="C28" s="8" t="s">
        <v>282</v>
      </c>
      <c r="D28" s="9">
        <f>Sales!F28/Sales!E28</f>
        <v>480.33333333333331</v>
      </c>
      <c r="G28" s="9"/>
    </row>
    <row r="29" spans="1:7" x14ac:dyDescent="0.35">
      <c r="A29" t="s">
        <v>134</v>
      </c>
      <c r="B29" t="s">
        <v>257</v>
      </c>
      <c r="C29" s="8" t="s">
        <v>281</v>
      </c>
      <c r="D29" s="9">
        <f>Sales!F29/Sales!E29</f>
        <v>703.5</v>
      </c>
      <c r="G29" s="9"/>
    </row>
    <row r="30" spans="1:7" x14ac:dyDescent="0.35">
      <c r="A30" t="s">
        <v>135</v>
      </c>
      <c r="B30" t="s">
        <v>258</v>
      </c>
      <c r="C30" s="8" t="s">
        <v>281</v>
      </c>
      <c r="D30" s="9">
        <f>Sales!F30/Sales!E30</f>
        <v>453.33333333333331</v>
      </c>
      <c r="G30" s="9"/>
    </row>
    <row r="31" spans="1:7" x14ac:dyDescent="0.35">
      <c r="A31" t="s">
        <v>136</v>
      </c>
      <c r="B31" t="s">
        <v>259</v>
      </c>
      <c r="C31" s="8" t="s">
        <v>282</v>
      </c>
      <c r="D31" s="9">
        <f>Sales!F31/Sales!E31</f>
        <v>9969</v>
      </c>
      <c r="G31" s="9"/>
    </row>
    <row r="32" spans="1:7" x14ac:dyDescent="0.35">
      <c r="A32" t="s">
        <v>137</v>
      </c>
      <c r="B32" t="s">
        <v>260</v>
      </c>
      <c r="C32" s="8" t="s">
        <v>288</v>
      </c>
      <c r="D32" s="9">
        <f>Sales!F32/Sales!E32</f>
        <v>1524.5</v>
      </c>
      <c r="G32" s="9"/>
    </row>
    <row r="33" spans="1:7" x14ac:dyDescent="0.35">
      <c r="A33" t="s">
        <v>138</v>
      </c>
      <c r="B33" t="s">
        <v>261</v>
      </c>
      <c r="C33" s="8" t="s">
        <v>292</v>
      </c>
      <c r="D33" s="9">
        <f>Sales!F33/Sales!E33</f>
        <v>170.2</v>
      </c>
      <c r="G33" s="9"/>
    </row>
    <row r="34" spans="1:7" x14ac:dyDescent="0.35">
      <c r="A34" t="s">
        <v>139</v>
      </c>
      <c r="B34" t="s">
        <v>262</v>
      </c>
      <c r="C34" s="8" t="s">
        <v>288</v>
      </c>
      <c r="D34" s="9">
        <f>Sales!F34/Sales!E34</f>
        <v>822.25</v>
      </c>
      <c r="G34" s="9"/>
    </row>
    <row r="35" spans="1:7" x14ac:dyDescent="0.35">
      <c r="A35" t="s">
        <v>140</v>
      </c>
      <c r="B35" t="s">
        <v>263</v>
      </c>
      <c r="C35" s="8" t="s">
        <v>285</v>
      </c>
      <c r="D35" s="9">
        <f>Sales!F35/Sales!E35</f>
        <v>485.5</v>
      </c>
      <c r="G35" s="9"/>
    </row>
    <row r="36" spans="1:7" x14ac:dyDescent="0.35">
      <c r="A36" t="s">
        <v>141</v>
      </c>
      <c r="B36" t="s">
        <v>264</v>
      </c>
      <c r="C36" s="8" t="s">
        <v>281</v>
      </c>
      <c r="D36" s="9">
        <f>Sales!F36/Sales!E36</f>
        <v>952</v>
      </c>
      <c r="G36" s="9"/>
    </row>
    <row r="37" spans="1:7" x14ac:dyDescent="0.35">
      <c r="A37" t="s">
        <v>142</v>
      </c>
      <c r="B37" t="s">
        <v>265</v>
      </c>
      <c r="C37" s="8" t="s">
        <v>292</v>
      </c>
      <c r="D37" s="9">
        <f>Sales!F37/Sales!E37</f>
        <v>909.16666666666663</v>
      </c>
      <c r="G37" s="9"/>
    </row>
    <row r="38" spans="1:7" x14ac:dyDescent="0.35">
      <c r="A38" t="s">
        <v>143</v>
      </c>
      <c r="B38" t="s">
        <v>266</v>
      </c>
      <c r="C38" s="8" t="s">
        <v>285</v>
      </c>
      <c r="D38" s="9">
        <f>Sales!F38/Sales!E38</f>
        <v>3735</v>
      </c>
      <c r="G38" s="9"/>
    </row>
    <row r="39" spans="1:7" x14ac:dyDescent="0.35">
      <c r="A39" t="s">
        <v>144</v>
      </c>
      <c r="B39" t="s">
        <v>267</v>
      </c>
      <c r="C39" s="8" t="s">
        <v>293</v>
      </c>
      <c r="D39" s="9">
        <f>Sales!F39/Sales!E39</f>
        <v>1382.8333333333333</v>
      </c>
      <c r="G39" s="9"/>
    </row>
    <row r="40" spans="1:7" x14ac:dyDescent="0.35">
      <c r="A40" t="s">
        <v>145</v>
      </c>
      <c r="B40" t="s">
        <v>268</v>
      </c>
      <c r="C40" s="8" t="s">
        <v>294</v>
      </c>
      <c r="D40" s="9">
        <f>Sales!F40/Sales!E40</f>
        <v>1456.8333333333333</v>
      </c>
      <c r="G40" s="9"/>
    </row>
    <row r="41" spans="1:7" x14ac:dyDescent="0.35">
      <c r="A41" t="s">
        <v>146</v>
      </c>
      <c r="B41" t="s">
        <v>269</v>
      </c>
      <c r="C41" s="8" t="s">
        <v>295</v>
      </c>
      <c r="D41" s="9">
        <f>Sales!F41/Sales!E41</f>
        <v>3690.5</v>
      </c>
      <c r="G41" s="9"/>
    </row>
    <row r="42" spans="1:7" x14ac:dyDescent="0.35">
      <c r="A42" t="s">
        <v>147</v>
      </c>
      <c r="B42" t="s">
        <v>270</v>
      </c>
      <c r="C42" s="8" t="s">
        <v>281</v>
      </c>
      <c r="D42" s="9">
        <f>Sales!F42/Sales!E42</f>
        <v>865</v>
      </c>
      <c r="G42" s="9"/>
    </row>
    <row r="43" spans="1:7" x14ac:dyDescent="0.35">
      <c r="A43" t="s">
        <v>148</v>
      </c>
      <c r="B43" t="s">
        <v>271</v>
      </c>
      <c r="C43" s="8" t="s">
        <v>291</v>
      </c>
      <c r="D43" s="9">
        <f>Sales!F43/Sales!E43</f>
        <v>1179.8571428571429</v>
      </c>
      <c r="G43" s="9"/>
    </row>
    <row r="44" spans="1:7" x14ac:dyDescent="0.35">
      <c r="A44" t="s">
        <v>149</v>
      </c>
      <c r="B44" t="s">
        <v>272</v>
      </c>
      <c r="C44" s="8" t="s">
        <v>281</v>
      </c>
      <c r="D44" s="9">
        <f>Sales!F44/Sales!E44</f>
        <v>8131</v>
      </c>
      <c r="G44" s="9"/>
    </row>
    <row r="45" spans="1:7" x14ac:dyDescent="0.35">
      <c r="A45" t="s">
        <v>150</v>
      </c>
      <c r="B45" t="s">
        <v>273</v>
      </c>
      <c r="C45" s="8" t="s">
        <v>290</v>
      </c>
      <c r="D45" s="9">
        <f>Sales!F45/Sales!E45</f>
        <v>596.4</v>
      </c>
      <c r="G45" s="9"/>
    </row>
    <row r="46" spans="1:7" x14ac:dyDescent="0.35">
      <c r="A46" t="s">
        <v>151</v>
      </c>
      <c r="B46" t="s">
        <v>274</v>
      </c>
      <c r="C46" s="8" t="s">
        <v>288</v>
      </c>
      <c r="D46" s="9">
        <f>Sales!F46/Sales!E46</f>
        <v>362.2</v>
      </c>
      <c r="G46" s="9"/>
    </row>
    <row r="47" spans="1:7" x14ac:dyDescent="0.35">
      <c r="A47" t="s">
        <v>152</v>
      </c>
      <c r="B47" t="s">
        <v>275</v>
      </c>
      <c r="C47" s="8" t="s">
        <v>281</v>
      </c>
      <c r="D47" s="9">
        <f>Sales!F47/Sales!E47</f>
        <v>1581.5</v>
      </c>
      <c r="G47" s="9"/>
    </row>
    <row r="48" spans="1:7" x14ac:dyDescent="0.35">
      <c r="A48" t="s">
        <v>153</v>
      </c>
      <c r="B48" t="s">
        <v>276</v>
      </c>
      <c r="C48" s="8" t="s">
        <v>296</v>
      </c>
      <c r="D48" s="9">
        <f>Sales!F48/Sales!E48</f>
        <v>1572.5</v>
      </c>
      <c r="G48" s="9"/>
    </row>
    <row r="49" spans="1:7" x14ac:dyDescent="0.35">
      <c r="A49" t="s">
        <v>154</v>
      </c>
      <c r="B49" t="s">
        <v>277</v>
      </c>
      <c r="C49" s="8" t="s">
        <v>288</v>
      </c>
      <c r="D49" s="9">
        <f>Sales!F49/Sales!E49</f>
        <v>391.7</v>
      </c>
      <c r="G49" s="9"/>
    </row>
    <row r="50" spans="1:7" x14ac:dyDescent="0.35">
      <c r="A50" t="s">
        <v>155</v>
      </c>
      <c r="B50" t="s">
        <v>278</v>
      </c>
      <c r="C50" s="8" t="s">
        <v>286</v>
      </c>
      <c r="D50" s="9">
        <f>Sales!F50/Sales!E50</f>
        <v>6659</v>
      </c>
      <c r="G50" s="9"/>
    </row>
    <row r="51" spans="1:7" x14ac:dyDescent="0.35">
      <c r="A51" t="s">
        <v>156</v>
      </c>
      <c r="B51" t="s">
        <v>279</v>
      </c>
      <c r="C51" s="8" t="s">
        <v>288</v>
      </c>
      <c r="D51" s="9">
        <f>Sales!F51/Sales!E51</f>
        <v>330.55555555555554</v>
      </c>
      <c r="G51" s="9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57BD2-6717-4245-AD46-A1802ACFE245}">
  <dimension ref="A3:E20"/>
  <sheetViews>
    <sheetView workbookViewId="0">
      <selection activeCell="A9" sqref="A9"/>
    </sheetView>
  </sheetViews>
  <sheetFormatPr defaultRowHeight="14.5" x14ac:dyDescent="0.35"/>
  <cols>
    <col min="1" max="1" width="15" bestFit="1" customWidth="1"/>
    <col min="2" max="3" width="18.6328125" bestFit="1" customWidth="1"/>
    <col min="4" max="4" width="15.26953125" bestFit="1" customWidth="1"/>
    <col min="5" max="5" width="18.6328125" bestFit="1" customWidth="1"/>
  </cols>
  <sheetData>
    <row r="3" spans="1:5" x14ac:dyDescent="0.35">
      <c r="A3" s="13" t="s">
        <v>303</v>
      </c>
      <c r="B3" t="s">
        <v>302</v>
      </c>
    </row>
    <row r="4" spans="1:5" x14ac:dyDescent="0.35">
      <c r="A4" s="14" t="s">
        <v>282</v>
      </c>
      <c r="B4" s="12">
        <v>34024</v>
      </c>
    </row>
    <row r="5" spans="1:5" x14ac:dyDescent="0.35">
      <c r="A5" s="14" t="s">
        <v>290</v>
      </c>
      <c r="B5" s="12">
        <v>4399</v>
      </c>
    </row>
    <row r="6" spans="1:5" x14ac:dyDescent="0.35">
      <c r="A6" s="14" t="s">
        <v>281</v>
      </c>
      <c r="B6" s="12">
        <v>89822</v>
      </c>
    </row>
    <row r="7" spans="1:5" x14ac:dyDescent="0.35">
      <c r="A7" s="14" t="s">
        <v>294</v>
      </c>
      <c r="B7" s="12">
        <v>8741</v>
      </c>
    </row>
    <row r="8" spans="1:5" x14ac:dyDescent="0.35">
      <c r="A8" s="14" t="s">
        <v>289</v>
      </c>
      <c r="B8" s="12">
        <v>6716</v>
      </c>
    </row>
    <row r="9" spans="1:5" x14ac:dyDescent="0.35">
      <c r="A9" s="14" t="s">
        <v>293</v>
      </c>
      <c r="B9" s="12">
        <v>8297</v>
      </c>
      <c r="D9" s="13" t="s">
        <v>303</v>
      </c>
      <c r="E9" t="s">
        <v>302</v>
      </c>
    </row>
    <row r="10" spans="1:5" x14ac:dyDescent="0.35">
      <c r="A10" s="14" t="s">
        <v>286</v>
      </c>
      <c r="B10" s="12">
        <v>9169</v>
      </c>
      <c r="D10" s="14" t="s">
        <v>259</v>
      </c>
      <c r="E10" s="12">
        <v>9969</v>
      </c>
    </row>
    <row r="11" spans="1:5" x14ac:dyDescent="0.35">
      <c r="A11" s="14" t="s">
        <v>288</v>
      </c>
      <c r="B11" s="12">
        <v>37038</v>
      </c>
      <c r="D11" s="14" t="s">
        <v>245</v>
      </c>
      <c r="E11" s="12">
        <v>9887</v>
      </c>
    </row>
    <row r="12" spans="1:5" x14ac:dyDescent="0.35">
      <c r="A12" s="14" t="s">
        <v>283</v>
      </c>
      <c r="B12" s="12">
        <v>5029</v>
      </c>
      <c r="D12" s="14" t="s">
        <v>276</v>
      </c>
      <c r="E12" s="12">
        <v>9435</v>
      </c>
    </row>
    <row r="13" spans="1:5" x14ac:dyDescent="0.35">
      <c r="A13" s="14" t="s">
        <v>285</v>
      </c>
      <c r="B13" s="12">
        <v>23330</v>
      </c>
      <c r="D13" s="14" t="s">
        <v>240</v>
      </c>
      <c r="E13" s="12">
        <v>9185</v>
      </c>
    </row>
    <row r="14" spans="1:5" x14ac:dyDescent="0.35">
      <c r="A14" s="14" t="s">
        <v>291</v>
      </c>
      <c r="B14" s="12">
        <v>16547</v>
      </c>
      <c r="D14" s="14" t="s">
        <v>235</v>
      </c>
      <c r="E14" s="12">
        <v>9126</v>
      </c>
    </row>
    <row r="15" spans="1:5" x14ac:dyDescent="0.35">
      <c r="A15" s="14" t="s">
        <v>292</v>
      </c>
      <c r="B15" s="12">
        <v>7157</v>
      </c>
      <c r="D15" s="14" t="s">
        <v>304</v>
      </c>
      <c r="E15" s="12">
        <v>47602</v>
      </c>
    </row>
    <row r="16" spans="1:5" x14ac:dyDescent="0.35">
      <c r="A16" s="14" t="s">
        <v>296</v>
      </c>
      <c r="B16" s="12">
        <v>9435</v>
      </c>
    </row>
    <row r="17" spans="1:2" x14ac:dyDescent="0.35">
      <c r="A17" s="14" t="s">
        <v>287</v>
      </c>
      <c r="B17" s="12">
        <v>1446</v>
      </c>
    </row>
    <row r="18" spans="1:2" x14ac:dyDescent="0.35">
      <c r="A18" s="14" t="s">
        <v>295</v>
      </c>
      <c r="B18" s="12">
        <v>7381</v>
      </c>
    </row>
    <row r="19" spans="1:2" x14ac:dyDescent="0.35">
      <c r="A19" s="14" t="s">
        <v>284</v>
      </c>
      <c r="B19" s="12">
        <v>6144</v>
      </c>
    </row>
    <row r="20" spans="1:2" x14ac:dyDescent="0.35">
      <c r="A20" s="14" t="s">
        <v>304</v>
      </c>
      <c r="B20" s="12">
        <v>274675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Sales</vt:lpstr>
      <vt:lpstr>Customer</vt:lpstr>
      <vt:lpstr>Products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Tanwar</dc:creator>
  <cp:lastModifiedBy>Sachin Tanwar</cp:lastModifiedBy>
  <dcterms:created xsi:type="dcterms:W3CDTF">2026-05-13T04:00:48Z</dcterms:created>
  <dcterms:modified xsi:type="dcterms:W3CDTF">2026-05-13T12:13:30Z</dcterms:modified>
</cp:coreProperties>
</file>